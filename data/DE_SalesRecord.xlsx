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ker\0Ad2026\Class Examples\Excel\"/>
    </mc:Choice>
  </mc:AlternateContent>
  <xr:revisionPtr revIDLastSave="0" documentId="13_ncr:1_{F2C72C0E-745B-4310-9F43-69E30244B139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Original Dataset" sheetId="5" r:id="rId1"/>
    <sheet name="Sample_Sales Records" sheetId="1" r:id="rId2"/>
    <sheet name="Issues Log" sheetId="6" r:id="rId3"/>
    <sheet name="Data Summary (Pivot Table)" sheetId="9" r:id="rId4"/>
    <sheet name="KPI_7" sheetId="12" r:id="rId5"/>
    <sheet name="Test Cal." sheetId="10" r:id="rId6"/>
  </sheets>
  <definedNames>
    <definedName name="_xlnm._FilterDatabase" localSheetId="1" hidden="1">'Sample_Sales Records'!$A$1:$R$101</definedName>
    <definedName name="_xlnm._FilterDatabase" localSheetId="5" hidden="1">'Test Cal.'!$G$13:$H$21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0" l="1"/>
  <c r="C73" i="9"/>
  <c r="C3" i="12"/>
  <c r="C4" i="12"/>
  <c r="C5" i="12"/>
  <c r="C6" i="12"/>
  <c r="C7" i="12"/>
  <c r="C8" i="12"/>
  <c r="C9" i="12"/>
  <c r="C2" i="12"/>
  <c r="C44" i="9"/>
  <c r="D44" i="9" s="1"/>
  <c r="C45" i="9"/>
  <c r="D45" i="9" s="1"/>
  <c r="C46" i="9"/>
  <c r="D46" i="9" s="1"/>
  <c r="C47" i="9"/>
  <c r="D47" i="9" s="1"/>
  <c r="C48" i="9"/>
  <c r="D48" i="9" s="1"/>
  <c r="C49" i="9"/>
  <c r="D49" i="9" s="1"/>
  <c r="C50" i="9"/>
  <c r="D50" i="9" s="1"/>
  <c r="C51" i="9"/>
  <c r="D51" i="9" s="1"/>
  <c r="I17" i="10"/>
  <c r="K3" i="10"/>
  <c r="H38" i="10"/>
  <c r="L27" i="10"/>
  <c r="L28" i="10"/>
  <c r="L29" i="10"/>
  <c r="L30" i="10"/>
  <c r="L31" i="10"/>
  <c r="L32" i="10"/>
  <c r="L33" i="10"/>
  <c r="L34" i="10"/>
  <c r="L35" i="10"/>
  <c r="L36" i="10"/>
  <c r="L37" i="10"/>
  <c r="L26" i="10"/>
  <c r="K26" i="10" a="1"/>
  <c r="J27" i="10"/>
  <c r="J28" i="10"/>
  <c r="J29" i="10"/>
  <c r="J30" i="10"/>
  <c r="J31" i="10"/>
  <c r="J32" i="10"/>
  <c r="J33" i="10"/>
  <c r="J34" i="10"/>
  <c r="J35" i="10"/>
  <c r="J36" i="10"/>
  <c r="J37" i="10"/>
  <c r="J26" i="10"/>
  <c r="I26" i="10" a="1"/>
  <c r="H26" i="10" a="1"/>
  <c r="G26" i="10" a="1"/>
  <c r="G13" i="10" a="1"/>
  <c r="H14" i="10" s="1" a="1"/>
  <c r="D10" i="6"/>
  <c r="D9" i="6"/>
  <c r="D8" i="6"/>
  <c r="D7" i="6"/>
  <c r="D6" i="6"/>
  <c r="D5" i="6"/>
  <c r="D4" i="6"/>
  <c r="D3" i="6"/>
  <c r="D2" i="6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  <c r="B2" i="10" s="1" a="1"/>
  <c r="H22" i="10" l="1"/>
  <c r="I15" i="10"/>
  <c r="I16" i="10"/>
  <c r="I18" i="10"/>
  <c r="I19" i="10"/>
  <c r="I20" i="10"/>
  <c r="I22" i="10"/>
  <c r="C3" i="10" a="1"/>
  <c r="D3" i="10" a="1"/>
  <c r="E9" i="10" l="1"/>
  <c r="E6" i="10"/>
  <c r="E8" i="10"/>
  <c r="E10" i="10"/>
  <c r="E5" i="10"/>
  <c r="E4" i="10"/>
  <c r="E7" i="10"/>
  <c r="E3" i="10"/>
  <c r="E11" i="10"/>
  <c r="G2" i="10" l="1" a="1"/>
  <c r="H10" i="10" l="1"/>
  <c r="K4" i="10"/>
  <c r="K5" i="10"/>
  <c r="K6" i="10"/>
  <c r="K7" i="10"/>
  <c r="K8" i="10"/>
  <c r="K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Oduh</author>
  </authors>
  <commentList>
    <comment ref="D1" authorId="0" shapeId="0" xr:uid="{847FC4AF-F0D6-42B7-82A5-502886579004}">
      <text>
        <r>
          <rPr>
            <b/>
            <sz val="9"/>
            <color indexed="81"/>
            <rFont val="Tahoma"/>
            <family val="2"/>
          </rPr>
          <t>Victor Oduh:</t>
        </r>
        <r>
          <rPr>
            <sz val="9"/>
            <color indexed="81"/>
            <rFont val="Tahoma"/>
            <family val="2"/>
          </rPr>
          <t xml:space="preserve">
Add combo chart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<sst xmlns="http://schemas.openxmlformats.org/spreadsheetml/2006/main" count="1198" uniqueCount="190">
  <si>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</si>
  <si>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</si>
  <si>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</si>
  <si>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</si>
  <si>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</si>
  <si>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</si>
  <si>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</si>
  <si>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</si>
  <si>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</si>
  <si>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</si>
  <si>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</si>
  <si>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</si>
  <si>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</si>
  <si>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</si>
  <si>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</si>
  <si>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</si>
  <si>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</si>
  <si>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</si>
  <si>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Central America and the Caribbean</t>
  </si>
  <si>
    <t>Grenada</t>
  </si>
  <si>
    <t>Cereal</t>
  </si>
  <si>
    <t>Online</t>
  </si>
  <si>
    <t>Europe</t>
  </si>
  <si>
    <t>Russia</t>
  </si>
  <si>
    <t>Office Supplies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</si>
  <si>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</si>
  <si>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</si>
  <si>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</si>
  <si>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</si>
  <si>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</si>
  <si>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</si>
  <si>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</si>
  <si>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</si>
  <si>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</si>
  <si>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</si>
  <si>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</si>
  <si>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</si>
  <si>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</si>
  <si>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</si>
  <si>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</si>
  <si>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</si>
  <si>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</si>
  <si>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</si>
  <si>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</si>
  <si>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</si>
  <si>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</si>
  <si>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</si>
  <si>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</si>
  <si>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</si>
  <si>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</si>
  <si>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</si>
  <si>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</si>
  <si>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</si>
  <si>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</si>
  <si>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</si>
  <si>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</si>
  <si>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</si>
  <si>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</si>
  <si>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</si>
  <si>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</si>
  <si>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</si>
  <si>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</si>
  <si>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</si>
  <si>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</si>
  <si>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</si>
  <si>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</si>
  <si>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</si>
  <si>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</si>
  <si>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</si>
  <si>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</si>
  <si>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</si>
  <si>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</si>
  <si>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</si>
  <si>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</si>
  <si>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</si>
  <si>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</si>
  <si>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</si>
  <si>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</si>
  <si>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</si>
  <si>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</si>
  <si>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</si>
  <si>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</si>
  <si>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</si>
  <si>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</si>
  <si>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</si>
  <si>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</si>
  <si>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</si>
  <si>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</si>
  <si>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</si>
  <si>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</si>
  <si>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</si>
  <si>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</si>
  <si>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</si>
  <si>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</si>
  <si>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</si>
  <si>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</si>
  <si>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</si>
  <si>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</si>
  <si>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</si>
  <si>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</si>
  <si>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</si>
  <si>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</si>
  <si>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</si>
  <si>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</si>
  <si>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</si>
  <si>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</si>
  <si>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</si>
  <si>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</si>
  <si>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</si>
  <si>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</si>
  <si>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</si>
  <si>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Critical</t>
  </si>
  <si>
    <t>Low</t>
  </si>
  <si>
    <t>High</t>
  </si>
  <si>
    <t>Medium</t>
  </si>
  <si>
    <t>H</t>
  </si>
  <si>
    <t>C</t>
  </si>
  <si>
    <t>L</t>
  </si>
  <si>
    <t>M</t>
  </si>
  <si>
    <t>offline</t>
  </si>
  <si>
    <t>online</t>
  </si>
  <si>
    <t>Days to ship</t>
  </si>
  <si>
    <t>Order Year</t>
  </si>
  <si>
    <t>Order month</t>
  </si>
  <si>
    <t>Columns</t>
  </si>
  <si>
    <t xml:space="preserve">Issues </t>
  </si>
  <si>
    <t>Row Count</t>
  </si>
  <si>
    <t>Solvable</t>
  </si>
  <si>
    <t xml:space="preserve">Resolution </t>
  </si>
  <si>
    <t>Order priority</t>
  </si>
  <si>
    <t>Unknow letters</t>
  </si>
  <si>
    <t>Y</t>
  </si>
  <si>
    <t xml:space="preserve">Requested and obtained more context for the dataset, implemented change using find &amp; replace. </t>
  </si>
  <si>
    <t xml:space="preserve">Order date </t>
  </si>
  <si>
    <t xml:space="preserve">Ship date </t>
  </si>
  <si>
    <t>Complicated data type</t>
  </si>
  <si>
    <t>Updated data type to correct format</t>
  </si>
  <si>
    <t xml:space="preserve">Sales Channel </t>
  </si>
  <si>
    <t xml:space="preserve">Casing </t>
  </si>
  <si>
    <t xml:space="preserve">Corrected casing for column using LOWER function </t>
  </si>
  <si>
    <t xml:space="preserve">Unit sold </t>
  </si>
  <si>
    <t>Misleading column name and content</t>
  </si>
  <si>
    <t>Augmentation</t>
  </si>
  <si>
    <t>Added columns "order year, order month, Days to ship"</t>
  </si>
  <si>
    <t>-</t>
  </si>
  <si>
    <t>Using formulas; YEAR, MONTH, TEXT, and SUBTRACTION, I computed the order year, month and days to ship</t>
  </si>
  <si>
    <t>Magnitude</t>
  </si>
  <si>
    <t>Row Labels</t>
  </si>
  <si>
    <t>Grand Total</t>
  </si>
  <si>
    <t xml:space="preserve">Revenue Total </t>
  </si>
  <si>
    <t>Profit Total</t>
  </si>
  <si>
    <t>Total Units Sold</t>
  </si>
  <si>
    <t>Items</t>
  </si>
  <si>
    <t>Year</t>
  </si>
  <si>
    <t>Revenue Total</t>
  </si>
  <si>
    <t>Order month (Figure)</t>
  </si>
  <si>
    <t>Q1: Revenue and Profit total By Regions</t>
  </si>
  <si>
    <t>Total Annual Revenue</t>
  </si>
  <si>
    <t>Q2: Total revenue made annually</t>
  </si>
  <si>
    <t xml:space="preserve">Q4: Contribution rate by region </t>
  </si>
  <si>
    <t>Q5: Top 3 Product By Units sold</t>
  </si>
  <si>
    <t>Q6: Profit margin By Items</t>
  </si>
  <si>
    <t xml:space="preserve">Q7: Average amount of Annual Profit </t>
  </si>
  <si>
    <t>Countries</t>
  </si>
  <si>
    <t>Q8a: Top 4 Countries By Revenue</t>
  </si>
  <si>
    <t>Q8b: Least 4 Countries By Revenue</t>
  </si>
  <si>
    <t>Q9: Growth Rate, Year on Year (YOY)</t>
  </si>
  <si>
    <t>Q10: Average Order Value</t>
  </si>
  <si>
    <t>AVg. Order Value</t>
  </si>
  <si>
    <t>Order Id count</t>
  </si>
  <si>
    <t>A.O.V</t>
  </si>
  <si>
    <t>Order Id Count</t>
  </si>
  <si>
    <t>Year On Year Growth</t>
  </si>
  <si>
    <t>Sum of Total Revenue</t>
  </si>
  <si>
    <t xml:space="preserve">Contribution Rate </t>
  </si>
  <si>
    <t>A.C.V/A.O.V</t>
  </si>
  <si>
    <t xml:space="preserve">Revenue </t>
  </si>
  <si>
    <t>Cost</t>
  </si>
  <si>
    <t>Cost Total</t>
  </si>
  <si>
    <t>Profit (RT - CT)</t>
  </si>
  <si>
    <t>Profit_margin</t>
  </si>
  <si>
    <t>Profit (Calculated)</t>
  </si>
  <si>
    <t>Profit (Derived)</t>
  </si>
  <si>
    <t>Profit Margin</t>
  </si>
  <si>
    <t>Digital Echos Sales Performancae Report</t>
  </si>
  <si>
    <t>Annual Revenue Contribution Rate</t>
  </si>
  <si>
    <t>Q3: Total Items Sold Year By Year</t>
  </si>
  <si>
    <t>Sum of Total Profit</t>
  </si>
  <si>
    <t>Performance</t>
  </si>
  <si>
    <t>Avg. Annual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</si>
</sst>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[$-409]m/d/yy\ h:mm\ AM/PM;@"/>
    <numFmt numFmtId="165" formatCode="_(&quot;$&quot;* #,##0_);_(&quot;$&quot;* \(#,##0\);_(&quot;$&quot;* &quot;-&quot;??_);_(@_)"/>
    <numFmt numFmtId="166" formatCode="m/d/yy\ h:mm;@"/>
    <numFmt numFmtId="167" formatCode="[$-409]d\-mmm\-yyyy;@"/>
    <numFmt numFmtId="168" formatCode="_(* #,##0_);_(* \(#,##0\);_(* &quot;-&quot;??_);_(@_)"/>
    <numFmt numFmtId="169" formatCode="&quot;$&quot;#,##0"/>
    <numFmt numFmtId="170" formatCode="_-[$£-809]* #,##0.00_-;\-[$£-809]* #,##0.00_-;_-[$£-809]* &quot;-&quot;??_-;_-@_-"/>
    <numFmt numFmtId="171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164" fontId="0" fillId="0" borderId="0"/>
    <xf numFmtId="164" fontId="7" fillId="2" borderId="0" applyNumberFormat="0" applyBorder="0" applyAlignment="0" applyProtection="0"/>
    <xf numFmtId="164" fontId="7" fillId="3" borderId="0" applyNumberFormat="0" applyBorder="0" applyAlignment="0" applyProtection="0"/>
    <xf numFmtId="164" fontId="7" fillId="4" borderId="0" applyNumberFormat="0" applyBorder="0" applyAlignment="0" applyProtection="0"/>
    <xf numFmtId="164" fontId="7" fillId="14" borderId="0" applyNumberFormat="0" applyBorder="0" applyAlignment="0" applyProtection="0"/>
    <xf numFmtId="164" fontId="7" fillId="5" borderId="0" applyNumberFormat="0" applyBorder="0" applyAlignment="0" applyProtection="0"/>
    <xf numFmtId="164" fontId="7" fillId="6" borderId="0" applyNumberFormat="0" applyBorder="0" applyAlignment="0" applyProtection="0"/>
    <xf numFmtId="164" fontId="7" fillId="15" borderId="0" applyNumberFormat="0" applyBorder="0" applyAlignment="0" applyProtection="0"/>
    <xf numFmtId="164" fontId="7" fillId="3" borderId="0" applyNumberFormat="0" applyBorder="0" applyAlignment="0" applyProtection="0"/>
    <xf numFmtId="164" fontId="7" fillId="3" borderId="0" applyNumberFormat="0" applyBorder="0" applyAlignment="0" applyProtection="0"/>
    <xf numFmtId="164" fontId="7" fillId="16" borderId="0" applyNumberFormat="0" applyBorder="0" applyAlignment="0" applyProtection="0"/>
    <xf numFmtId="164" fontId="7" fillId="17" borderId="0" applyNumberFormat="0" applyBorder="0" applyAlignment="0" applyProtection="0"/>
    <xf numFmtId="164" fontId="7" fillId="7" borderId="0" applyNumberFormat="0" applyBorder="0" applyAlignment="0" applyProtection="0"/>
    <xf numFmtId="164" fontId="8" fillId="8" borderId="0" applyNumberFormat="0" applyBorder="0" applyAlignment="0" applyProtection="0"/>
    <xf numFmtId="164" fontId="8" fillId="3" borderId="0" applyNumberFormat="0" applyBorder="0" applyAlignment="0" applyProtection="0"/>
    <xf numFmtId="164" fontId="8" fillId="18" borderId="0" applyNumberFormat="0" applyBorder="0" applyAlignment="0" applyProtection="0"/>
    <xf numFmtId="164" fontId="8" fillId="19" borderId="0" applyNumberFormat="0" applyBorder="0" applyAlignment="0" applyProtection="0"/>
    <xf numFmtId="164" fontId="8" fillId="8" borderId="0" applyNumberFormat="0" applyBorder="0" applyAlignment="0" applyProtection="0"/>
    <xf numFmtId="164" fontId="8" fillId="9" borderId="0" applyNumberFormat="0" applyBorder="0" applyAlignment="0" applyProtection="0"/>
    <xf numFmtId="164" fontId="8" fillId="10" borderId="0" applyNumberFormat="0" applyBorder="0" applyAlignment="0" applyProtection="0"/>
    <xf numFmtId="164" fontId="8" fillId="11" borderId="0" applyNumberFormat="0" applyBorder="0" applyAlignment="0" applyProtection="0"/>
    <xf numFmtId="164" fontId="8" fillId="20" borderId="0" applyNumberFormat="0" applyBorder="0" applyAlignment="0" applyProtection="0"/>
    <xf numFmtId="164" fontId="8" fillId="12" borderId="0" applyNumberFormat="0" applyBorder="0" applyAlignment="0" applyProtection="0"/>
    <xf numFmtId="164" fontId="8" fillId="10" borderId="0" applyNumberFormat="0" applyBorder="0" applyAlignment="0" applyProtection="0"/>
    <xf numFmtId="164" fontId="8" fillId="9" borderId="0" applyNumberFormat="0" applyBorder="0" applyAlignment="0" applyProtection="0"/>
    <xf numFmtId="164" fontId="9" fillId="13" borderId="0" applyNumberFormat="0" applyBorder="0" applyAlignment="0" applyProtection="0"/>
    <xf numFmtId="164" fontId="10" fillId="3" borderId="5" applyNumberFormat="0" applyAlignment="0" applyProtection="0"/>
    <xf numFmtId="164" fontId="11" fillId="21" borderId="6" applyNumberFormat="0" applyAlignment="0" applyProtection="0"/>
    <xf numFmtId="164" fontId="12" fillId="0" borderId="0" applyNumberFormat="0" applyFill="0" applyBorder="0" applyAlignment="0" applyProtection="0"/>
    <xf numFmtId="164" fontId="13" fillId="6" borderId="0" applyNumberFormat="0" applyBorder="0" applyAlignment="0" applyProtection="0"/>
    <xf numFmtId="164" fontId="5" fillId="0" borderId="1" applyNumberFormat="0" applyFill="0" applyAlignment="0" applyProtection="0"/>
    <xf numFmtId="164" fontId="14" fillId="0" borderId="7" applyNumberFormat="0" applyFill="0" applyAlignment="0" applyProtection="0"/>
    <xf numFmtId="164" fontId="6" fillId="0" borderId="2" applyNumberFormat="0" applyFill="0" applyAlignment="0" applyProtection="0"/>
    <xf numFmtId="164" fontId="2" fillId="0" borderId="0" applyNumberFormat="0" applyFill="0" applyBorder="0" applyAlignment="0" applyProtection="0"/>
    <xf numFmtId="164" fontId="15" fillId="3" borderId="5" applyNumberFormat="0" applyAlignment="0" applyProtection="0"/>
    <xf numFmtId="164" fontId="3" fillId="0" borderId="3" applyNumberFormat="0" applyFill="0" applyAlignment="0" applyProtection="0"/>
    <xf numFmtId="164" fontId="16" fillId="22" borderId="0" applyNumberFormat="0" applyBorder="0" applyAlignment="0" applyProtection="0"/>
    <xf numFmtId="164" fontId="1" fillId="23" borderId="8" applyNumberFormat="0" applyFont="0" applyAlignment="0" applyProtection="0"/>
    <xf numFmtId="164" fontId="17" fillId="3" borderId="9" applyNumberFormat="0" applyAlignment="0" applyProtection="0"/>
    <xf numFmtId="164" fontId="4" fillId="0" borderId="0" applyNumberFormat="0" applyFill="0" applyBorder="0" applyAlignment="0" applyProtection="0"/>
    <xf numFmtId="164" fontId="18" fillId="0" borderId="4" applyNumberFormat="0" applyFill="0" applyAlignment="0" applyProtection="0"/>
    <xf numFmtId="164" fontId="19" fillId="0" borderId="0" applyNumberForma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3">
    <xf numFmtId="164" fontId="0" fillId="0" borderId="0" xfId="0"/>
    <xf numFmtId="0" fontId="0" fillId="0" borderId="0" xfId="0" applyNumberFormat="1"/>
    <xf numFmtId="164" fontId="18" fillId="0" borderId="0" xfId="0" applyFont="1"/>
    <xf numFmtId="164" fontId="20" fillId="0" borderId="0" xfId="0" applyFont="1"/>
    <xf numFmtId="0" fontId="20" fillId="0" borderId="0" xfId="0" applyNumberFormat="1" applyFont="1"/>
    <xf numFmtId="1" fontId="0" fillId="0" borderId="0" xfId="0" applyNumberFormat="1"/>
    <xf numFmtId="165" fontId="0" fillId="0" borderId="0" xfId="42" applyNumberFormat="1" applyFont="1"/>
    <xf numFmtId="0" fontId="18" fillId="0" borderId="0" xfId="0" applyNumberFormat="1" applyFont="1"/>
    <xf numFmtId="166" fontId="18" fillId="0" borderId="0" xfId="0" applyNumberFormat="1" applyFont="1"/>
    <xf numFmtId="164" fontId="21" fillId="0" borderId="0" xfId="0" applyFont="1"/>
    <xf numFmtId="166" fontId="0" fillId="0" borderId="0" xfId="0" applyNumberFormat="1"/>
    <xf numFmtId="164" fontId="22" fillId="0" borderId="0" xfId="0" applyFont="1"/>
    <xf numFmtId="167" fontId="0" fillId="0" borderId="0" xfId="0" applyNumberFormat="1"/>
    <xf numFmtId="164" fontId="0" fillId="0" borderId="0" xfId="0" pivotButton="1"/>
    <xf numFmtId="164" fontId="0" fillId="0" borderId="0" xfId="0" applyAlignment="1">
      <alignment horizontal="left"/>
    </xf>
    <xf numFmtId="164" fontId="18" fillId="24" borderId="10" xfId="0" applyFont="1" applyFill="1" applyBorder="1"/>
    <xf numFmtId="167" fontId="18" fillId="24" borderId="10" xfId="0" applyNumberFormat="1" applyFont="1" applyFill="1" applyBorder="1"/>
    <xf numFmtId="0" fontId="18" fillId="24" borderId="10" xfId="0" applyNumberFormat="1" applyFont="1" applyFill="1" applyBorder="1"/>
    <xf numFmtId="165" fontId="0" fillId="0" borderId="0" xfId="0" applyNumberFormat="1"/>
    <xf numFmtId="164" fontId="18" fillId="0" borderId="11" xfId="0" applyFont="1" applyBorder="1"/>
    <xf numFmtId="164" fontId="0" fillId="0" borderId="11" xfId="0" applyBorder="1"/>
    <xf numFmtId="0" fontId="0" fillId="0" borderId="11" xfId="0" applyNumberFormat="1" applyBorder="1"/>
    <xf numFmtId="9" fontId="0" fillId="0" borderId="11" xfId="43" applyFont="1" applyBorder="1"/>
    <xf numFmtId="164" fontId="19" fillId="0" borderId="11" xfId="0" applyFont="1" applyBorder="1"/>
    <xf numFmtId="169" fontId="0" fillId="0" borderId="0" xfId="0" applyNumberFormat="1"/>
    <xf numFmtId="0" fontId="0" fillId="0" borderId="11" xfId="42" applyNumberFormat="1" applyFont="1" applyBorder="1"/>
    <xf numFmtId="10" fontId="0" fillId="0" borderId="11" xfId="0" applyNumberFormat="1" applyBorder="1"/>
    <xf numFmtId="10" fontId="0" fillId="0" borderId="0" xfId="43" applyNumberFormat="1" applyFont="1"/>
    <xf numFmtId="10" fontId="0" fillId="0" borderId="11" xfId="43" applyNumberFormat="1" applyFont="1" applyBorder="1"/>
    <xf numFmtId="170" fontId="18" fillId="24" borderId="10" xfId="42" applyNumberFormat="1" applyFont="1" applyFill="1" applyBorder="1"/>
    <xf numFmtId="170" fontId="0" fillId="0" borderId="0" xfId="42" applyNumberFormat="1" applyFont="1"/>
    <xf numFmtId="170" fontId="0" fillId="0" borderId="0" xfId="0" applyNumberFormat="1"/>
    <xf numFmtId="170" fontId="18" fillId="24" borderId="10" xfId="0" applyNumberFormat="1" applyFont="1" applyFill="1" applyBorder="1"/>
    <xf numFmtId="170" fontId="0" fillId="0" borderId="11" xfId="42" applyNumberFormat="1" applyFont="1" applyBorder="1"/>
    <xf numFmtId="170" fontId="0" fillId="25" borderId="11" xfId="0" applyNumberFormat="1" applyFill="1" applyBorder="1"/>
    <xf numFmtId="170" fontId="0" fillId="25" borderId="11" xfId="42" applyNumberFormat="1" applyFont="1" applyFill="1" applyBorder="1"/>
    <xf numFmtId="10" fontId="0" fillId="25" borderId="11" xfId="43" applyNumberFormat="1" applyFont="1" applyFill="1" applyBorder="1"/>
    <xf numFmtId="164" fontId="23" fillId="0" borderId="0" xfId="0" applyFont="1" applyAlignment="1">
      <alignment horizontal="center"/>
    </xf>
    <xf numFmtId="164" fontId="0" fillId="0" borderId="11" xfId="0" pivotButton="1" applyBorder="1"/>
    <xf numFmtId="164" fontId="0" fillId="0" borderId="11" xfId="0" applyBorder="1" applyAlignment="1">
      <alignment horizontal="left"/>
    </xf>
    <xf numFmtId="170" fontId="0" fillId="0" borderId="11" xfId="0" applyNumberFormat="1" applyBorder="1"/>
    <xf numFmtId="0" fontId="0" fillId="0" borderId="11" xfId="0" applyNumberFormat="1" applyBorder="1" applyAlignment="1">
      <alignment horizontal="left"/>
    </xf>
    <xf numFmtId="168" fontId="0" fillId="0" borderId="11" xfId="0" applyNumberFormat="1" applyBorder="1"/>
    <xf numFmtId="170" fontId="0" fillId="0" borderId="13" xfId="0" applyNumberFormat="1" applyBorder="1"/>
    <xf numFmtId="170" fontId="0" fillId="26" borderId="11" xfId="0" applyNumberFormat="1" applyFill="1" applyBorder="1"/>
    <xf numFmtId="164" fontId="0" fillId="27" borderId="0" xfId="0" applyFill="1"/>
    <xf numFmtId="164" fontId="18" fillId="28" borderId="14" xfId="0" applyFont="1" applyFill="1" applyBorder="1"/>
    <xf numFmtId="171" fontId="0" fillId="0" borderId="0" xfId="0" applyNumberFormat="1"/>
    <xf numFmtId="164" fontId="0" fillId="0" borderId="0" xfId="0" applyAlignment="1">
      <alignment horizontal="left"/>
    </xf>
    <xf numFmtId="164" fontId="0" fillId="0" borderId="0" xfId="0"/>
    <xf numFmtId="164" fontId="23" fillId="0" borderId="0" xfId="0" applyFont="1" applyAlignment="1">
      <alignment horizontal="center"/>
    </xf>
    <xf numFmtId="164" fontId="0" fillId="0" borderId="12" xfId="0" applyBorder="1"/>
    <xf numFmtId="44" fontId="0" fillId="0" borderId="0" xfId="42" applyFon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9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fill>
        <patternFill>
          <bgColor theme="3" tint="0.39997558519241921"/>
        </patternFill>
      </fill>
    </dxf>
    <dxf>
      <numFmt numFmtId="165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8" formatCode="_(* #,##0_);_(* \(#,##0\);_(* &quot;-&quot;??_);_(@_)"/>
    </dxf>
    <dxf>
      <numFmt numFmtId="172" formatCode="_(* #,##0.0_);_(* \(#,##0.0\);_(* &quot;-&quot;??_);_(@_)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numFmt numFmtId="14" formatCode="0.00%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_-[$£-809]* #,##0.00_-;\-[$£-809]* #,##0.00_-;_-[$£-809]* &quot;-&quot;??_-;_-@_-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[$£-809]* #,##0.00_-;\-[$£-809]* #,##0.00_-;_-[$£-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[$£-809]* #,##0.00_-;\-[$£-809]* #,##0.00_-;_-[$£-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[$£-809]* #,##0.00_-;\-[$£-809]* #,##0.00_-;_-[$£-809]* &quot;-&quot;??_-;_-@_-"/>
    </dxf>
    <dxf>
      <numFmt numFmtId="170" formatCode="_-[$£-809]* #,##0.00_-;\-[$£-809]* #,##0.00_-;_-[$£-809]* &quot;-&quot;??_-;_-@_-"/>
    </dxf>
    <dxf>
      <numFmt numFmtId="170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-409]d\-mmm\-yyyy;@"/>
    </dxf>
    <dxf>
      <numFmt numFmtId="0" formatCode="General"/>
    </dxf>
    <dxf>
      <numFmt numFmtId="167" formatCode="[$-409]d\-mmm\-yyyy;@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[Excel_Sales_Report.xlsx]Data Summary (Pivot Table)!PivotTable1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 (Pivot Table)'!$B$16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 (Pivot Table)'!$A$17:$A$25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'Data Summary (Pivot Table)'!$B$17:$B$25</c:f>
              <c:numCache>
                <c:formatCode>_-[$£-809]* #,##0.00_-;\-[$£-809]* #,##0.00_-;_-[$£-809]* "-"??_-;_-@_-</c:formatCode>
                <c:ptCount val="8"/>
                <c:pt idx="0">
                  <c:v>19186024.920000002</c:v>
                </c:pt>
                <c:pt idx="1">
                  <c:v>11129166.07</c:v>
                </c:pt>
                <c:pt idx="2">
                  <c:v>31898644.52</c:v>
                </c:pt>
                <c:pt idx="3">
                  <c:v>20330448.66</c:v>
                </c:pt>
                <c:pt idx="4">
                  <c:v>16630214.430000002</c:v>
                </c:pt>
                <c:pt idx="5">
                  <c:v>12427982.860000001</c:v>
                </c:pt>
                <c:pt idx="6">
                  <c:v>12372867.219999999</c:v>
                </c:pt>
                <c:pt idx="7">
                  <c:v>13373419.629999999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6-4924-9BAC-9CE3F084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789408"/>
        <c:axId val="712781248"/>
      </c:barChart>
      <c:catAx>
        <c:axId val="7127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81248"/>
        <c:crosses val="autoZero"/>
        <c:auto val="1"/>
        <c:lblAlgn val="ctr"/>
        <c:lblOffset val="100"/>
        <c:noMultiLvlLbl val="0"/>
      </c:catAx>
      <c:valAx>
        <c:axId val="712781248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,,\ &quot;M&quot;_-;\-[$£-809]* #,##0.0,,\ &quot;M&quot;_-;_-[$£-809]* &quot;-&quot;??_-;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[Excel_Sales_Report.xlsx]Data Summary (Pivot Table)!PivotTable11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Countribution</a:t>
            </a:r>
            <a:r>
              <a:rPr lang="en-US" b="1" baseline="0">
                <a:solidFill>
                  <a:schemeClr val="tx1"/>
                </a:solidFill>
              </a:rPr>
              <a:t> Rate By Regions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-7.8308361803869492E-2"/>
              <c:y val="-9.36162123260699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1.2529337888619119E-2"/>
              <c:y val="-0.128106395814622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-4.6985017082321695E-2"/>
              <c:y val="-9.36162123260699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7.8308361803869492E-2"/>
              <c:y val="-7.88347051166905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9.397003416464339E-2"/>
              <c:y val="6.89803669771041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-7.5176027331714732E-2"/>
              <c:y val="9.85433813958629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175">
            <a:solidFill>
              <a:schemeClr val="tx1">
                <a:lumMod val="85000"/>
                <a:lumOff val="15000"/>
              </a:schemeClr>
            </a:solidFill>
          </a:ln>
          <a:effectLst/>
        </c:spPr>
        <c:dLbl>
          <c:idx val="0"/>
          <c:layout>
            <c:manualLayout>
              <c:x val="-7.517602733171473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Summary (Pivot Table)'!$B$29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chemeClr val="tx1">
                  <a:lumMod val="85000"/>
                  <a:lumOff val="1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D-4857-A759-55A8B14588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F5D-4857-A759-55A8B14588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5D-4857-A759-55A8B14588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F5D-4857-A759-55A8B14588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5D-4857-A759-55A8B14588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F5D-4857-A759-55A8B14588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17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D-4857-A759-55A8B1458872}"/>
              </c:ext>
            </c:extLst>
          </c:dPt>
          <c:dLbls>
            <c:dLbl>
              <c:idx val="0"/>
              <c:layout>
                <c:manualLayout>
                  <c:x val="7.8308361803869492E-2"/>
                  <c:y val="-7.8834705116690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5D-4857-A759-55A8B1458872}"/>
                </c:ext>
              </c:extLst>
            </c:dLbl>
            <c:dLbl>
              <c:idx val="1"/>
              <c:layout>
                <c:manualLayout>
                  <c:x val="9.397003416464339E-2"/>
                  <c:y val="6.8980366977104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5D-4857-A759-55A8B1458872}"/>
                </c:ext>
              </c:extLst>
            </c:dLbl>
            <c:dLbl>
              <c:idx val="2"/>
              <c:layout>
                <c:manualLayout>
                  <c:x val="-7.5176027331714732E-2"/>
                  <c:y val="9.8543381395862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5D-4857-A759-55A8B1458872}"/>
                </c:ext>
              </c:extLst>
            </c:dLbl>
            <c:dLbl>
              <c:idx val="3"/>
              <c:layout>
                <c:manualLayout>
                  <c:x val="-7.517602733171473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5D-4857-A759-55A8B1458872}"/>
                </c:ext>
              </c:extLst>
            </c:dLbl>
            <c:dLbl>
              <c:idx val="4"/>
              <c:layout>
                <c:manualLayout>
                  <c:x val="-7.8308361803869492E-2"/>
                  <c:y val="-9.3616212326069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5D-4857-A759-55A8B1458872}"/>
                </c:ext>
              </c:extLst>
            </c:dLbl>
            <c:dLbl>
              <c:idx val="5"/>
              <c:layout>
                <c:manualLayout>
                  <c:x val="-4.6985017082321695E-2"/>
                  <c:y val="-9.3616212326069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5D-4857-A759-55A8B1458872}"/>
                </c:ext>
              </c:extLst>
            </c:dLbl>
            <c:dLbl>
              <c:idx val="6"/>
              <c:layout>
                <c:manualLayout>
                  <c:x val="1.2529337888619119E-2"/>
                  <c:y val="-0.128106395814622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5D-4857-A759-55A8B1458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bg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Summary (Pivot Table)'!$A$30:$A$37</c:f>
              <c:strCache>
                <c:ptCount val="7"/>
                <c:pt idx="0">
                  <c:v>Sub-Saharan Africa</c:v>
                </c:pt>
                <c:pt idx="1">
                  <c:v>Europe</c:v>
                </c:pt>
                <c:pt idx="2">
                  <c:v>Asia</c:v>
                </c:pt>
                <c:pt idx="3">
                  <c:v>Australia and Oceania</c:v>
                </c:pt>
                <c:pt idx="4">
                  <c:v>Middle East and North Africa</c:v>
                </c:pt>
                <c:pt idx="5">
                  <c:v>Central America and the Caribbean</c:v>
                </c:pt>
                <c:pt idx="6">
                  <c:v>North America</c:v>
                </c:pt>
              </c:strCache>
            </c:strRef>
          </c:cat>
          <c:val>
            <c:numRef>
              <c:f>'Data Summary (Pivot Table)'!$B$30:$B$37</c:f>
              <c:numCache>
                <c:formatCode>0.00%</c:formatCode>
                <c:ptCount val="7"/>
                <c:pt idx="0">
                  <c:v>0.28884155218967184</c:v>
                </c:pt>
                <c:pt idx="1">
                  <c:v>0.24295035565725198</c:v>
                </c:pt>
                <c:pt idx="2">
                  <c:v>0.15542251512455521</c:v>
                </c:pt>
                <c:pt idx="3">
                  <c:v>0.10261661100730698</c:v>
                </c:pt>
                <c:pt idx="4">
                  <c:v>0.10231403421312558</c:v>
                </c:pt>
                <c:pt idx="5">
                  <c:v>6.6767147625977866E-2</c:v>
                </c:pt>
                <c:pt idx="6">
                  <c:v>4.1087784182110662E-2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D-4857-A759-55A8B14588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97914059240713"/>
          <c:y val="0.17362295732450922"/>
          <c:w val="0.33333333333333331"/>
          <c:h val="0.801112846331101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[Excel_Sales_Report.xlsx]Data Summary (Pivot Table)!PivotTable4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3 Most Sold Items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 (Pivot Table)'!$J$30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 (Pivot Table)'!$I$31:$I$34</c:f>
              <c:strCache>
                <c:ptCount val="3"/>
                <c:pt idx="0">
                  <c:v>Cosmetics</c:v>
                </c:pt>
                <c:pt idx="1">
                  <c:v>Clothes</c:v>
                </c:pt>
                <c:pt idx="2">
                  <c:v>Beverages</c:v>
                </c:pt>
              </c:strCache>
            </c:strRef>
          </c:cat>
          <c:val>
            <c:numRef>
              <c:f>'Data Summary (Pivot Table)'!$J$31:$J$34</c:f>
              <c:numCache>
                <c:formatCode>_(* #,##0_);_(* \(#,##0\);_(* "-"??_);_(@_)</c:formatCode>
                <c:ptCount val="3"/>
                <c:pt idx="0">
                  <c:v>83718</c:v>
                </c:pt>
                <c:pt idx="1">
                  <c:v>71260</c:v>
                </c:pt>
                <c:pt idx="2">
                  <c:v>56708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3-4F27-A9B0-1CB99A0F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62240"/>
        <c:axId val="184562720"/>
      </c:barChart>
      <c:catAx>
        <c:axId val="1845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62720"/>
        <c:crosses val="autoZero"/>
        <c:auto val="1"/>
        <c:lblAlgn val="ctr"/>
        <c:lblOffset val="100"/>
        <c:noMultiLvlLbl val="0"/>
      </c:catAx>
      <c:valAx>
        <c:axId val="184562720"/>
        <c:scaling>
          <c:orientation val="minMax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6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[Excel_Sales_Report.xlsx]Data Summary (Pivot Table)!PivotTable12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4 Countries With The Heighest Revenue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 (Pivot Table)'!$J$44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 (Pivot Table)'!$I$45:$I$49</c:f>
              <c:strCache>
                <c:ptCount val="4"/>
                <c:pt idx="0">
                  <c:v>Turkmenistan</c:v>
                </c:pt>
                <c:pt idx="1">
                  <c:v>Djibouti</c:v>
                </c:pt>
                <c:pt idx="2">
                  <c:v>Myanmar</c:v>
                </c:pt>
                <c:pt idx="3">
                  <c:v>Honduras</c:v>
                </c:pt>
              </c:strCache>
            </c:strRef>
          </c:cat>
          <c:val>
            <c:numRef>
              <c:f>'Data Summary (Pivot Table)'!$J$45:$J$49</c:f>
              <c:numCache>
                <c:formatCode>_-[$£-809]* #,##0.00_-;\-[$£-809]* #,##0.00_-;_-[$£-809]* "-"??_-;_-@_-</c:formatCode>
                <c:ptCount val="4"/>
                <c:pt idx="0">
                  <c:v>5822036.2000000002</c:v>
                </c:pt>
                <c:pt idx="1">
                  <c:v>6052890.8600000003</c:v>
                </c:pt>
                <c:pt idx="2">
                  <c:v>6161257.9000000004</c:v>
                </c:pt>
                <c:pt idx="3">
                  <c:v>6336545.4800000004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D-48E2-8CE4-4F26B146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84208"/>
        <c:axId val="151384688"/>
      </c:barChart>
      <c:catAx>
        <c:axId val="15138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4688"/>
        <c:crosses val="autoZero"/>
        <c:auto val="1"/>
        <c:lblAlgn val="ctr"/>
        <c:lblOffset val="100"/>
        <c:noMultiLvlLbl val="0"/>
      </c:catAx>
      <c:valAx>
        <c:axId val="15138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,,\ &quot;M&quot;_-;\-[$£-809]* #,##0.0,,\ &quot;M&quot;_-;_-[$£-809]* &quot;-&quot;??_-;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[Excel_Sales_Report.xlsx]Data Summary (Pivot Table)!PivotTable13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Countries With The Least Amount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 (Pivot Table)'!$Q$45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 (Pivot Table)'!$P$46:$P$50</c:f>
              <c:strCache>
                <c:ptCount val="4"/>
                <c:pt idx="0">
                  <c:v>Slovakia</c:v>
                </c:pt>
                <c:pt idx="1">
                  <c:v>New Zealand</c:v>
                </c:pt>
                <c:pt idx="2">
                  <c:v>Kyrgyzstan</c:v>
                </c:pt>
                <c:pt idx="3">
                  <c:v>Kuwait</c:v>
                </c:pt>
              </c:strCache>
            </c:strRef>
          </c:cat>
          <c:val>
            <c:numRef>
              <c:f>'Data Summary (Pivot Table)'!$Q$46:$Q$50</c:f>
              <c:numCache>
                <c:formatCode>_-[$£-809]* #,##0.00_-;\-[$£-809]* #,##0.00_-;_-[$£-809]* "-"??_-;_-@_-</c:formatCode>
                <c:ptCount val="4"/>
                <c:pt idx="0">
                  <c:v>26344.26</c:v>
                </c:pt>
                <c:pt idx="1">
                  <c:v>20404.71</c:v>
                </c:pt>
                <c:pt idx="2">
                  <c:v>19103.439999999999</c:v>
                </c:pt>
                <c:pt idx="3">
                  <c:v>4870.26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F-48FB-9D46-5C32CA6DB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50240"/>
        <c:axId val="154252160"/>
      </c:barChart>
      <c:catAx>
        <c:axId val="15425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2160"/>
        <c:crosses val="autoZero"/>
        <c:auto val="1"/>
        <c:lblAlgn val="ctr"/>
        <c:lblOffset val="100"/>
        <c:noMultiLvlLbl val="0"/>
      </c:catAx>
      <c:valAx>
        <c:axId val="154252160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,\ &quot;K&quot;_-;\-[$£-809]* #,##0,\ &quot;K&quot;_-;_-[$£-809]* &quot;-&quot;??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[Excel_Sales_Report.xlsx]Data Summary (Pivot Table)!PivotTable6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Yearly Performane</a:t>
            </a:r>
            <a:r>
              <a:rPr lang="en-US" b="1" baseline="0">
                <a:solidFill>
                  <a:schemeClr val="tx1"/>
                </a:solidFill>
              </a:rPr>
              <a:t> Aganist Annual Profit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Summary (Pivot Table)'!$B$43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 (Pivot Table)'!$A$44:$A$52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'Data Summary (Pivot Table)'!$B$44:$B$52</c:f>
              <c:numCache>
                <c:formatCode>_-[$£-809]* #,##0.00_-;\-[$£-809]* #,##0.00_-;_-[$£-809]* "-"??_-;_-@_-</c:formatCode>
                <c:ptCount val="8"/>
                <c:pt idx="0">
                  <c:v>6629567.4299999997</c:v>
                </c:pt>
                <c:pt idx="1">
                  <c:v>2741008.2300000004</c:v>
                </c:pt>
                <c:pt idx="2">
                  <c:v>9213010.120000001</c:v>
                </c:pt>
                <c:pt idx="3">
                  <c:v>6715420.0399999991</c:v>
                </c:pt>
                <c:pt idx="4">
                  <c:v>5879461.6799999997</c:v>
                </c:pt>
                <c:pt idx="5">
                  <c:v>3996539.4400000004</c:v>
                </c:pt>
                <c:pt idx="6">
                  <c:v>4903838.01</c:v>
                </c:pt>
                <c:pt idx="7">
                  <c:v>4089353.45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9-48A1-ABF7-29E3F362DC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843328"/>
        <c:axId val="228840448"/>
      </c:lineChart>
      <c:catAx>
        <c:axId val="2288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40448"/>
        <c:crosses val="autoZero"/>
        <c:auto val="1"/>
        <c:lblAlgn val="ctr"/>
        <c:lblOffset val="100"/>
        <c:noMultiLvlLbl val="0"/>
      </c:catAx>
      <c:valAx>
        <c:axId val="228840448"/>
        <c:scaling>
          <c:orientation val="minMax"/>
          <c:min val="1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,,\ &quot;M&quot;_-;\-[$£-809]* #,##0.0,,\ &quot;M&quot;_-;_-[$£-809]* &quot;-&quot;??_-;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4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92809</xdr:colOff>
      <xdr:row>14</xdr:row>
      <xdr:rowOff>73785</xdr:rowOff>
    </xdr:from>
    <xdr:to>
      <xdr:col>5</xdr:col>
      <xdr:colOff>1124003</xdr:colOff>
      <xdr:row>25</xdr:row>
      <xdr:rowOff>54575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486DC7-B567-2A84-10A7-D6EA8C6ED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78587</xdr:colOff>
      <xdr:row>25</xdr:row>
      <xdr:rowOff>145666</xdr:rowOff>
    </xdr:from>
    <xdr:to>
      <xdr:col>5</xdr:col>
      <xdr:colOff>1121293</xdr:colOff>
      <xdr:row>38</xdr:row>
      <xdr:rowOff>174402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A88D35-1779-F036-D9C1-4453B3FD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212635</xdr:colOff>
      <xdr:row>25</xdr:row>
      <xdr:rowOff>168740</xdr:rowOff>
    </xdr:from>
    <xdr:to>
      <xdr:col>14</xdr:col>
      <xdr:colOff>80493</xdr:colOff>
      <xdr:row>37</xdr:row>
      <xdr:rowOff>26831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8186BF-8AA0-41BC-DA74-C27470757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66968</xdr:colOff>
      <xdr:row>38</xdr:row>
      <xdr:rowOff>55568</xdr:rowOff>
    </xdr:from>
    <xdr:to>
      <xdr:col>14</xdr:col>
      <xdr:colOff>476250</xdr:colOff>
      <xdr:row>51</xdr:row>
      <xdr:rowOff>47948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4C2FBE-5A98-8494-771F-5BF95D134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84195</xdr:colOff>
      <xdr:row>40</xdr:row>
      <xdr:rowOff>134290</xdr:rowOff>
    </xdr:from>
    <xdr:to>
      <xdr:col>22</xdr:col>
      <xdr:colOff>53663</xdr:colOff>
      <xdr:row>54</xdr:row>
      <xdr:rowOff>73786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F82AB7-C733-3829-D8A9-3DC796990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893015</xdr:colOff>
      <xdr:row>39</xdr:row>
      <xdr:rowOff>130479</xdr:rowOff>
    </xdr:from>
    <xdr:to>
      <xdr:col>7</xdr:col>
      <xdr:colOff>531817</xdr:colOff>
      <xdr:row>54</xdr:row>
      <xdr:rowOff>168471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BA57414-FA93-5FA6-89B4-54EFCA2F6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Oduh" refreshedDate="46217.618823495373" createdVersion="8" refreshedVersion="8" minRefreshableVersion="3" recordCount="100" xr:uid="{912C1199-49F0-4C10-87CE-C18CBAFF49A0}">
  <cacheSource type="worksheet">
    <worksheetSource name="In."/>
  </cacheSource>
  <cacheFields count="23">
    <cacheField name="Region" numFmtId="164">
      <sharedItems count="7">
        <s v="Australia and Oceania"/>
        <s v="Central America and the Caribbean"/>
        <s v="Europe"/>
        <s v="Sub-Saharan Africa"/>
        <s v="Asia"/>
        <s v="Middle East and North Africa"/>
        <s v="North America"/>
      </sharedItems>
    </cacheField>
    <cacheField name="Country" numFmtId="164">
      <sharedItems count="76">
        <s v="Tuvalu"/>
        <s v="Grenada"/>
        <s v="Russia"/>
        <s v="Sao Tome and Principe"/>
        <s v="Rwanda"/>
        <s v="Solomon Islands"/>
        <s v="Angola"/>
        <s v="Burkina Faso"/>
        <s v="Republic of the Congo"/>
        <s v="Senegal"/>
        <s v="Kyrgyzstan"/>
        <s v="Cape Verde"/>
        <s v="Bangladesh"/>
        <s v="Honduras"/>
        <s v="Mongolia"/>
        <s v="Bulgaria"/>
        <s v="Sri Lanka"/>
        <s v="Cameroon"/>
        <s v="Turkmenistan"/>
        <s v="East Timor"/>
        <s v="Norway"/>
        <s v="Portugal"/>
        <s v="New Zealand"/>
        <s v="Moldova "/>
        <s v="France"/>
        <s v="Kiribati"/>
        <s v="Mali"/>
        <s v="The Gambia"/>
        <s v="Switzerland"/>
        <s v="South Sudan"/>
        <s v="Australia"/>
        <s v="Myanmar"/>
        <s v="Djibouti"/>
        <s v="Costa Rica"/>
        <s v="Syria"/>
        <s v="Brunei"/>
        <s v="Niger"/>
        <s v="Azerbaijan"/>
        <s v="Slovakia"/>
        <s v="Comoros"/>
        <s v="Iceland"/>
        <s v="Macedonia"/>
        <s v="Mauritania"/>
        <s v="Albania"/>
        <s v="Lesotho"/>
        <s v="Saudi Arabia"/>
        <s v="Sierra Leone"/>
        <s v="Cote d'Ivoire"/>
        <s v="Fiji"/>
        <s v="Austria"/>
        <s v="United Kingdom"/>
        <s v="San Marino"/>
        <s v="Libya"/>
        <s v="Haiti"/>
        <s v="Gabon"/>
        <s v="Belize"/>
        <s v="Lithuania"/>
        <s v="Madagascar"/>
        <s v="Democratic Republic of the Congo"/>
        <s v="Pakistan"/>
        <s v="Mexico"/>
        <s v="Federated States of Micronesia"/>
        <s v="Laos"/>
        <s v="Monaco"/>
        <s v="Samoa "/>
        <s v="Spain"/>
        <s v="Lebanon"/>
        <s v="Iran"/>
        <s v="Zambia"/>
        <s v="Kenya"/>
        <s v="Kuwait"/>
        <s v="Slovenia"/>
        <s v="Romania"/>
        <s v="Nicaragua"/>
        <s v="Malaysia"/>
        <s v="Mozambique"/>
      </sharedItems>
    </cacheField>
    <cacheField name="Item Type" numFmtId="164">
      <sharedItems count="12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</sharedItems>
    </cacheField>
    <cacheField name="Sales Channel" numFmtId="164">
      <sharedItems/>
    </cacheField>
    <cacheField name="Order Priority" numFmtId="164">
      <sharedItems/>
    </cacheField>
    <cacheField name="Order Date" numFmtId="167">
      <sharedItems containsSemiMixedTypes="0" containsNonDate="0" containsDate="1" containsString="0" minDate="2010-02-02T00:00:00" maxDate="2017-05-23T00:00:00" count="100">
        <d v="2010-05-28T00:00:00"/>
        <d v="2012-08-22T00:00:00"/>
        <d v="2014-05-02T00:00:00"/>
        <d v="2014-06-20T00:00:00"/>
        <d v="2013-02-01T00:00:00"/>
        <d v="2015-02-04T00:00:00"/>
        <d v="2011-04-23T00:00:00"/>
        <d v="2012-07-17T00:00:00"/>
        <d v="2015-07-14T00:00:00"/>
        <d v="2014-04-18T00:00:00"/>
        <d v="2011-06-24T00:00:00"/>
        <d v="2014-08-02T00:00:00"/>
        <d v="2017-01-13T00:00:00"/>
        <d v="2017-02-08T00:00:00"/>
        <d v="2014-02-19T00:00:00"/>
        <d v="2012-04-23T00:00:00"/>
        <d v="2016-11-19T00:00:00"/>
        <d v="2015-04-01T00:00:00"/>
        <d v="2010-12-30T00:00:00"/>
        <d v="2012-07-31T00:00:00"/>
        <d v="2014-05-14T00:00:00"/>
        <d v="2015-07-31T00:00:00"/>
        <d v="2016-06-30T00:00:00"/>
        <d v="2014-09-08T00:00:00"/>
        <d v="2016-05-07T00:00:00"/>
        <d v="2017-05-22T00:00:00"/>
        <d v="2014-10-13T00:00:00"/>
        <d v="2010-05-07T00:00:00"/>
        <d v="2014-07-18T00:00:00"/>
        <d v="2012-05-26T00:00:00"/>
        <d v="2012-09-17T00:00:00"/>
        <d v="2013-12-29T00:00:00"/>
        <d v="2015-10-27T00:00:00"/>
        <d v="2015-01-16T00:00:00"/>
        <d v="2017-02-25T00:00:00"/>
        <d v="2017-05-08T00:00:00"/>
        <d v="2011-11-22T00:00:00"/>
        <d v="2017-01-14T00:00:00"/>
        <d v="2012-04-01T00:00:00"/>
        <d v="2012-02-16T00:00:00"/>
        <d v="2017-03-11T00:00:00"/>
        <d v="2010-02-06T00:00:00"/>
        <d v="2012-06-07T00:00:00"/>
        <d v="2012-10-06T00:00:00"/>
        <d v="2015-11-14T00:00:00"/>
        <d v="2016-03-29T00:00:00"/>
        <d v="2016-12-31T00:00:00"/>
        <d v="2010-12-23T00:00:00"/>
        <d v="2014-10-14T00:00:00"/>
        <d v="2012-01-11T00:00:00"/>
        <d v="2010-02-02T00:00:00"/>
        <d v="2013-08-18T00:00:00"/>
        <d v="2013-03-25T00:00:00"/>
        <d v="2011-11-26T00:00:00"/>
        <d v="2013-09-17T00:00:00"/>
        <d v="2012-06-08T00:00:00"/>
        <d v="2010-06-30T00:00:00"/>
        <d v="2015-02-23T00:00:00"/>
        <d v="2012-01-05T00:00:00"/>
        <d v="2014-04-07T00:00:00"/>
        <d v="2013-06-09T00:00:00"/>
        <d v="2013-06-26T00:00:00"/>
        <d v="2011-11-07T00:00:00"/>
        <d v="2010-10-30T00:00:00"/>
        <d v="2013-10-13T00:00:00"/>
        <d v="2013-10-11T00:00:00"/>
        <d v="2012-07-08T00:00:00"/>
        <d v="2016-07-25T00:00:00"/>
        <d v="2010-10-24T00:00:00"/>
        <d v="2015-04-25T00:00:00"/>
        <d v="2013-04-23T00:00:00"/>
        <d v="2015-08-14T00:00:00"/>
        <d v="2011-05-26T00:00:00"/>
        <d v="2017-05-20T00:00:00"/>
        <d v="2013-07-05T00:00:00"/>
        <d v="2014-11-06T00:00:00"/>
        <d v="2014-10-28T00:00:00"/>
        <d v="2011-09-15T00:00:00"/>
        <d v="2012-05-29T00:00:00"/>
        <d v="2013-07-20T00:00:00"/>
        <d v="2012-10-21T00:00:00"/>
        <d v="2012-09-18T00:00:00"/>
        <d v="2016-11-15T00:00:00"/>
        <d v="2011-01-04T00:00:00"/>
        <d v="2012-03-18T00:00:00"/>
        <d v="2012-02-17T00:00:00"/>
        <d v="2011-01-16T00:00:00"/>
        <d v="2014-02-03T00:00:00"/>
        <d v="2012-04-30T00:00:00"/>
        <d v="2016-10-23T00:00:00"/>
        <d v="2016-12-06T00:00:00"/>
        <d v="2014-07-07T00:00:00"/>
        <d v="2012-06-13T00:00:00"/>
        <d v="2010-11-26T00:00:00"/>
        <d v="2011-02-08T00:00:00"/>
        <d v="2011-07-26T00:00:00"/>
        <d v="2011-11-11T00:00:00"/>
        <d v="2016-06-01T00:00:00"/>
        <d v="2015-07-30T00:00:00"/>
        <d v="2012-02-10T00:00:00"/>
      </sharedItems>
      <fieldGroup par="21"/>
    </cacheField>
    <cacheField name="Order ID" numFmtId="0">
      <sharedItems containsSemiMixedTypes="0" containsString="0" containsNumber="1" containsInteger="1" minValue="114606559" maxValue="994022214"/>
    </cacheField>
    <cacheField name="Ship Date" numFmtId="167">
      <sharedItems containsSemiMixedTypes="0" containsNonDate="0" containsDate="1" containsString="0" minDate="2010-02-25T00:00:00" maxDate="2017-06-18T00:00:00"/>
    </cacheField>
    <cacheField name="Order Year" numFmtId="0">
      <sharedItems containsSemiMixedTypes="0" containsString="0" containsNumber="1" containsInteger="1" minValue="2010" maxValue="2017" count="8">
        <n v="2010"/>
        <n v="2012"/>
        <n v="2014"/>
        <n v="2013"/>
        <n v="2015"/>
        <n v="2011"/>
        <n v="2017"/>
        <n v="2016"/>
      </sharedItems>
    </cacheField>
    <cacheField name="Order month (Figure)" numFmtId="0">
      <sharedItems containsSemiMixedTypes="0" containsString="0" containsNumber="1" containsInteger="1" minValue="1" maxValue="12"/>
    </cacheField>
    <cacheField name="Order month" numFmtId="0">
      <sharedItems/>
    </cacheField>
    <cacheField name="Days to ship" numFmtId="0">
      <sharedItems containsSemiMixedTypes="0" containsString="0" containsNumber="1" containsInteger="1" minValue="0" maxValue="50"/>
    </cacheField>
    <cacheField name="Units Sold" numFmtId="0">
      <sharedItems containsSemiMixedTypes="0" containsString="0" containsNumber="1" containsInteger="1" minValue="124" maxValue="9925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170">
      <sharedItems containsSemiMixedTypes="0" containsString="0" containsNumber="1" minValue="4870.26" maxValue="5997054.9800000004" count="100">
        <n v="2533654"/>
        <n v="576782.80000000005"/>
        <n v="1158502.5900000001"/>
        <n v="75591.66"/>
        <n v="3296425.02"/>
        <n v="759202.72"/>
        <n v="2798046.49"/>
        <n v="1245112.92"/>
        <n v="496101.1"/>
        <n v="1356180.1"/>
        <n v="19103.439999999999"/>
        <n v="455479.03999999998"/>
        <n v="902980.64"/>
        <n v="5997054.9800000004"/>
        <n v="400558.73"/>
        <n v="182825.44"/>
        <n v="3039414.4"/>
        <n v="257653.5"/>
        <n v="2559474.1"/>
        <n v="2492526.12"/>
        <n v="1901836"/>
        <n v="324971.44"/>
        <n v="339490.5"/>
        <n v="20404.71"/>
        <n v="414371.1"/>
        <n v="793518"/>
        <n v="50363.34"/>
        <n v="54319.26"/>
        <n v="243133.8"/>
        <n v="1583799.9"/>
        <n v="3786589.2"/>
        <n v="173676.25"/>
        <n v="1904138.04"/>
        <n v="5513227.5"/>
        <n v="1117953.6599999999"/>
        <n v="523807.57"/>
        <n v="35304.720000000001"/>
        <n v="2011149.63"/>
        <n v="4368316.68"/>
        <n v="2596374.27"/>
        <n v="246415.95"/>
        <n v="3162704.8"/>
        <n v="435466.9"/>
        <n v="26344.26"/>
        <n v="648030.4"/>
        <n v="197883.4"/>
        <n v="3876652.4"/>
        <n v="22312.29"/>
        <n v="856973.76"/>
        <n v="824431.86"/>
        <n v="247956.32"/>
        <n v="89623.98"/>
        <n v="835759.1"/>
        <n v="2251232.9700000002"/>
        <n v="71253.210000000006"/>
        <n v="380512.96"/>
        <n v="1082418.3999999999"/>
        <n v="1244708.3999999999"/>
        <n v="188452.14"/>
        <n v="3154398"/>
        <n v="140287.4"/>
        <n v="1212580"/>
        <n v="3593376.78"/>
        <n v="668356.48"/>
        <n v="745426"/>
        <n v="1957344.4"/>
        <n v="707454.88"/>
        <n v="600821.43999999994"/>
        <n v="5396577.2699999996"/>
        <n v="802333.76"/>
        <n v="3262562.1"/>
        <n v="6279.09"/>
        <n v="272410.45"/>
        <n v="1780539.2"/>
        <n v="4324782.4000000004"/>
        <n v="4647149.58"/>
        <n v="445033.55"/>
        <n v="574951.92000000004"/>
        <n v="2198981.92"/>
        <n v="4220728.8"/>
        <n v="3015902.51"/>
        <n v="861563.52"/>
        <n v="2836990.8"/>
        <n v="623289.30000000005"/>
        <n v="994765.42"/>
        <n v="524870.06000000006"/>
        <n v="418936.05"/>
        <n v="1419101.52"/>
        <n v="4870.26"/>
        <n v="221117"/>
        <n v="617347.07999999996"/>
        <n v="445508.05"/>
        <n v="1316095.4099999999"/>
        <n v="3458252"/>
        <n v="387002.2"/>
        <n v="97040.639999999999"/>
        <n v="58471.11"/>
        <n v="228779.1"/>
        <n v="471336.91"/>
        <n v="3586605.09"/>
      </sharedItems>
    </cacheField>
    <cacheField name="Total Cost" numFmtId="170">
      <sharedItems containsSemiMixedTypes="0" containsString="0" containsNumber="1" minValue="3612.24" maxValue="4509793.96"/>
    </cacheField>
    <cacheField name="Total Profit" numFmtId="170">
      <sharedItems containsSemiMixedTypes="0" containsString="0" containsNumber="1" minValue="1258.02" maxValue="1719922.04"/>
    </cacheField>
    <cacheField name="Profit margin" numFmtId="0" formula="Profit/'Total Revenue'" databaseField="0"/>
    <cacheField name="Months (Order Date)" numFmtId="0" databaseField="0">
      <fieldGroup base="5">
        <rangePr groupBy="months" startDate="2010-02-02T00:00:00" endDate="2017-05-23T00:00:00"/>
        <groupItems count="14">
          <s v="&lt;2/2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3/2017"/>
        </groupItems>
      </fieldGroup>
    </cacheField>
    <cacheField name="Quarters (Order Date)" numFmtId="0" databaseField="0">
      <fieldGroup base="5">
        <rangePr groupBy="quarters" startDate="2010-02-02T00:00:00" endDate="2017-05-23T00:00:00"/>
        <groupItems count="6">
          <s v="&lt;2/2/2010"/>
          <s v="Qtr1"/>
          <s v="Qtr2"/>
          <s v="Qtr3"/>
          <s v="Qtr4"/>
          <s v="&gt;5/23/2017"/>
        </groupItems>
      </fieldGroup>
    </cacheField>
    <cacheField name="Years (Order Date)" numFmtId="0" databaseField="0">
      <fieldGroup base="5">
        <rangePr groupBy="years" startDate="2010-02-02T00:00:00" endDate="2017-05-23T00:00:00"/>
        <groupItems count="10">
          <s v="&lt;2/2/2010"/>
          <s v="2010"/>
          <s v="2011"/>
          <s v="2012"/>
          <s v="2013"/>
          <s v="2014"/>
          <s v="2015"/>
          <s v="2016"/>
          <s v="2017"/>
          <s v="&gt;5/23/2017"/>
        </groupItems>
      </fieldGroup>
    </cacheField>
    <cacheField name="Profit" numFmtId="0" formula="'Total Revenue'-'Total Cos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s v="offline"/>
    <s v="High"/>
    <x v="0"/>
    <n v="669165933"/>
    <d v="2010-06-27T00:00:00"/>
    <x v="0"/>
    <n v="5"/>
    <s v="May"/>
    <n v="30"/>
    <n v="9925"/>
    <n v="255.28"/>
    <n v="159.41999999999999"/>
    <x v="0"/>
    <n v="1582243.5"/>
    <n v="951410.5"/>
  </r>
  <r>
    <x v="1"/>
    <x v="1"/>
    <x v="1"/>
    <s v="online"/>
    <s v="Critical"/>
    <x v="1"/>
    <n v="963881480"/>
    <d v="2012-09-15T00:00:00"/>
    <x v="1"/>
    <n v="8"/>
    <s v="Aug"/>
    <n v="24"/>
    <n v="2804"/>
    <n v="205.7"/>
    <n v="117.11"/>
    <x v="1"/>
    <n v="328376.44"/>
    <n v="248406.36"/>
  </r>
  <r>
    <x v="2"/>
    <x v="2"/>
    <x v="2"/>
    <s v="offline"/>
    <s v="Low"/>
    <x v="2"/>
    <n v="341417157"/>
    <d v="2014-05-08T00:00:00"/>
    <x v="2"/>
    <n v="5"/>
    <s v="May"/>
    <n v="6"/>
    <n v="1779"/>
    <n v="651.21"/>
    <n v="524.96"/>
    <x v="2"/>
    <n v="933903.84"/>
    <n v="224598.75"/>
  </r>
  <r>
    <x v="3"/>
    <x v="3"/>
    <x v="3"/>
    <s v="online"/>
    <s v="Critical"/>
    <x v="3"/>
    <n v="514321792"/>
    <d v="2014-07-05T00:00:00"/>
    <x v="2"/>
    <n v="6"/>
    <s v="Jun"/>
    <n v="15"/>
    <n v="8102"/>
    <n v="9.33"/>
    <n v="6.92"/>
    <x v="3"/>
    <n v="56065.84"/>
    <n v="19525.82"/>
  </r>
  <r>
    <x v="3"/>
    <x v="4"/>
    <x v="2"/>
    <s v="offline"/>
    <s v="Low"/>
    <x v="4"/>
    <n v="115456712"/>
    <d v="2013-02-06T00:00:00"/>
    <x v="3"/>
    <n v="2"/>
    <s v="Feb"/>
    <n v="5"/>
    <n v="5062"/>
    <n v="651.21"/>
    <n v="524.96"/>
    <x v="4"/>
    <n v="2657347.52"/>
    <n v="639077.5"/>
  </r>
  <r>
    <x v="0"/>
    <x v="5"/>
    <x v="0"/>
    <s v="online"/>
    <s v="Critical"/>
    <x v="5"/>
    <n v="547995746"/>
    <d v="2015-02-21T00:00:00"/>
    <x v="4"/>
    <n v="2"/>
    <s v="Feb"/>
    <n v="17"/>
    <n v="2974"/>
    <n v="255.28"/>
    <n v="159.41999999999999"/>
    <x v="5"/>
    <n v="474115.08"/>
    <n v="285087.64"/>
  </r>
  <r>
    <x v="3"/>
    <x v="6"/>
    <x v="4"/>
    <s v="offline"/>
    <s v="Medium"/>
    <x v="6"/>
    <n v="135425221"/>
    <d v="2011-04-27T00:00:00"/>
    <x v="5"/>
    <n v="4"/>
    <s v="Apr"/>
    <n v="4"/>
    <n v="4187"/>
    <n v="668.27"/>
    <n v="502.54"/>
    <x v="6"/>
    <n v="2104134.98"/>
    <n v="693911.51"/>
  </r>
  <r>
    <x v="3"/>
    <x v="7"/>
    <x v="5"/>
    <s v="online"/>
    <s v="High"/>
    <x v="7"/>
    <n v="871543967"/>
    <d v="2012-07-27T00:00:00"/>
    <x v="1"/>
    <n v="7"/>
    <s v="Jul"/>
    <n v="10"/>
    <n v="8082"/>
    <n v="154.06"/>
    <n v="90.93"/>
    <x v="7"/>
    <n v="734896.26"/>
    <n v="510216.66"/>
  </r>
  <r>
    <x v="3"/>
    <x v="8"/>
    <x v="6"/>
    <s v="offline"/>
    <s v="Medium"/>
    <x v="8"/>
    <n v="770463311"/>
    <d v="2015-08-25T00:00:00"/>
    <x v="4"/>
    <n v="7"/>
    <s v="Jul"/>
    <n v="42"/>
    <n v="6070"/>
    <n v="81.73"/>
    <n v="56.67"/>
    <x v="8"/>
    <n v="343986.9"/>
    <n v="152114.20000000001"/>
  </r>
  <r>
    <x v="3"/>
    <x v="9"/>
    <x v="1"/>
    <s v="online"/>
    <s v="High"/>
    <x v="9"/>
    <n v="616607081"/>
    <d v="2014-05-30T00:00:00"/>
    <x v="2"/>
    <n v="4"/>
    <s v="Apr"/>
    <n v="42"/>
    <n v="6593"/>
    <n v="205.7"/>
    <n v="117.11"/>
    <x v="9"/>
    <n v="772106.23"/>
    <n v="584073.87"/>
  </r>
  <r>
    <x v="4"/>
    <x v="10"/>
    <x v="5"/>
    <s v="online"/>
    <s v="High"/>
    <x v="10"/>
    <n v="814711606"/>
    <d v="2011-07-12T00:00:00"/>
    <x v="5"/>
    <n v="6"/>
    <s v="Jun"/>
    <n v="18"/>
    <n v="124"/>
    <n v="154.06"/>
    <n v="90.93"/>
    <x v="10"/>
    <n v="11275.32"/>
    <n v="7828.12"/>
  </r>
  <r>
    <x v="3"/>
    <x v="11"/>
    <x v="7"/>
    <s v="offline"/>
    <s v="High"/>
    <x v="11"/>
    <n v="939825713"/>
    <d v="2014-08-19T00:00:00"/>
    <x v="2"/>
    <n v="8"/>
    <s v="Aug"/>
    <n v="17"/>
    <n v="4168"/>
    <n v="109.28"/>
    <n v="35.840000000000003"/>
    <x v="11"/>
    <n v="149381.12"/>
    <n v="306097.91999999998"/>
  </r>
  <r>
    <x v="4"/>
    <x v="12"/>
    <x v="7"/>
    <s v="online"/>
    <s v="Low"/>
    <x v="12"/>
    <n v="187310731"/>
    <d v="2017-03-01T00:00:00"/>
    <x v="6"/>
    <n v="1"/>
    <s v="Jan"/>
    <n v="47"/>
    <n v="8263"/>
    <n v="109.28"/>
    <n v="35.840000000000003"/>
    <x v="12"/>
    <n v="296145.91999999998"/>
    <n v="606834.72"/>
  </r>
  <r>
    <x v="1"/>
    <x v="13"/>
    <x v="4"/>
    <s v="offline"/>
    <s v="High"/>
    <x v="13"/>
    <n v="522840487"/>
    <d v="2017-02-13T00:00:00"/>
    <x v="6"/>
    <n v="2"/>
    <s v="Feb"/>
    <n v="5"/>
    <n v="8974"/>
    <n v="668.27"/>
    <n v="502.54"/>
    <x v="13"/>
    <n v="4509793.96"/>
    <n v="1487261.02"/>
  </r>
  <r>
    <x v="4"/>
    <x v="14"/>
    <x v="6"/>
    <s v="offline"/>
    <s v="Critical"/>
    <x v="14"/>
    <n v="832401311"/>
    <d v="2014-02-23T00:00:00"/>
    <x v="2"/>
    <n v="2"/>
    <s v="Feb"/>
    <n v="4"/>
    <n v="4901"/>
    <n v="81.73"/>
    <n v="56.67"/>
    <x v="14"/>
    <n v="277739.67"/>
    <n v="122819.06"/>
  </r>
  <r>
    <x v="2"/>
    <x v="15"/>
    <x v="7"/>
    <s v="online"/>
    <s v="Medium"/>
    <x v="15"/>
    <n v="972292029"/>
    <d v="2012-06-03T00:00:00"/>
    <x v="1"/>
    <n v="4"/>
    <s v="Apr"/>
    <n v="41"/>
    <n v="1673"/>
    <n v="109.28"/>
    <n v="35.840000000000003"/>
    <x v="15"/>
    <n v="59960.32"/>
    <n v="122865.12"/>
  </r>
  <r>
    <x v="4"/>
    <x v="16"/>
    <x v="8"/>
    <s v="offline"/>
    <s v="Medium"/>
    <x v="16"/>
    <n v="419123971"/>
    <d v="2016-12-18T00:00:00"/>
    <x v="7"/>
    <n v="11"/>
    <s v="Nov"/>
    <n v="29"/>
    <n v="6952"/>
    <n v="437.2"/>
    <n v="263.33"/>
    <x v="16"/>
    <n v="1830670.16"/>
    <n v="1208744.24"/>
  </r>
  <r>
    <x v="3"/>
    <x v="17"/>
    <x v="9"/>
    <s v="offline"/>
    <s v="Critical"/>
    <x v="17"/>
    <n v="519820964"/>
    <d v="2015-04-18T00:00:00"/>
    <x v="4"/>
    <n v="4"/>
    <s v="Apr"/>
    <n v="17"/>
    <n v="5430"/>
    <n v="47.45"/>
    <n v="31.79"/>
    <x v="17"/>
    <n v="172619.7"/>
    <n v="85033.8"/>
  </r>
  <r>
    <x v="4"/>
    <x v="18"/>
    <x v="4"/>
    <s v="offline"/>
    <s v="Low"/>
    <x v="18"/>
    <n v="441619336"/>
    <d v="2011-01-20T00:00:00"/>
    <x v="0"/>
    <n v="12"/>
    <s v="Dec"/>
    <n v="21"/>
    <n v="3830"/>
    <n v="668.27"/>
    <n v="502.54"/>
    <x v="18"/>
    <n v="1924728.2"/>
    <n v="634745.9"/>
  </r>
  <r>
    <x v="0"/>
    <x v="19"/>
    <x v="10"/>
    <s v="online"/>
    <s v="Low"/>
    <x v="19"/>
    <n v="322067916"/>
    <d v="2012-09-11T00:00:00"/>
    <x v="1"/>
    <n v="7"/>
    <s v="Jul"/>
    <n v="42"/>
    <n v="5908"/>
    <n v="421.89"/>
    <n v="364.69"/>
    <x v="19"/>
    <n v="2154588.52"/>
    <n v="337937.6"/>
  </r>
  <r>
    <x v="2"/>
    <x v="20"/>
    <x v="0"/>
    <s v="online"/>
    <s v="Low"/>
    <x v="20"/>
    <n v="819028031"/>
    <d v="2014-06-28T00:00:00"/>
    <x v="2"/>
    <n v="5"/>
    <s v="May"/>
    <n v="45"/>
    <n v="7450"/>
    <n v="255.28"/>
    <n v="159.41999999999999"/>
    <x v="20"/>
    <n v="1187679"/>
    <n v="714157"/>
  </r>
  <r>
    <x v="2"/>
    <x v="21"/>
    <x v="0"/>
    <s v="online"/>
    <s v="High"/>
    <x v="21"/>
    <n v="860673511"/>
    <d v="2015-09-03T00:00:00"/>
    <x v="4"/>
    <n v="7"/>
    <s v="Jul"/>
    <n v="34"/>
    <n v="1273"/>
    <n v="255.28"/>
    <n v="159.41999999999999"/>
    <x v="21"/>
    <n v="202941.66"/>
    <n v="122029.78"/>
  </r>
  <r>
    <x v="1"/>
    <x v="13"/>
    <x v="11"/>
    <s v="online"/>
    <s v="Low"/>
    <x v="22"/>
    <n v="795490682"/>
    <d v="2016-07-26T00:00:00"/>
    <x v="7"/>
    <n v="6"/>
    <s v="Jun"/>
    <n v="26"/>
    <n v="2225"/>
    <n v="152.58000000000001"/>
    <n v="97.44"/>
    <x v="22"/>
    <n v="216804"/>
    <n v="122686.5"/>
  </r>
  <r>
    <x v="0"/>
    <x v="22"/>
    <x v="3"/>
    <s v="online"/>
    <s v="High"/>
    <x v="23"/>
    <n v="142278373"/>
    <d v="2014-10-04T00:00:00"/>
    <x v="2"/>
    <n v="9"/>
    <s v="Sep"/>
    <n v="26"/>
    <n v="2187"/>
    <n v="9.33"/>
    <n v="6.92"/>
    <x v="23"/>
    <n v="15134.04"/>
    <n v="5270.67"/>
  </r>
  <r>
    <x v="2"/>
    <x v="23"/>
    <x v="6"/>
    <s v="online"/>
    <s v="Low"/>
    <x v="24"/>
    <n v="740147912"/>
    <d v="2016-05-10T00:00:00"/>
    <x v="7"/>
    <n v="5"/>
    <s v="May"/>
    <n v="3"/>
    <n v="5070"/>
    <n v="81.73"/>
    <n v="56.67"/>
    <x v="24"/>
    <n v="287316.90000000002"/>
    <n v="127054.2"/>
  </r>
  <r>
    <x v="2"/>
    <x v="24"/>
    <x v="8"/>
    <s v="online"/>
    <s v="High"/>
    <x v="25"/>
    <n v="898523128"/>
    <d v="2017-06-05T00:00:00"/>
    <x v="6"/>
    <n v="5"/>
    <s v="May"/>
    <n v="14"/>
    <n v="1815"/>
    <n v="437.2"/>
    <n v="263.33"/>
    <x v="25"/>
    <n v="477943.95"/>
    <n v="315574.05"/>
  </r>
  <r>
    <x v="0"/>
    <x v="25"/>
    <x v="3"/>
    <s v="online"/>
    <s v="Medium"/>
    <x v="26"/>
    <n v="347140347"/>
    <d v="2014-11-10T00:00:00"/>
    <x v="2"/>
    <n v="10"/>
    <s v="Oct"/>
    <n v="28"/>
    <n v="5398"/>
    <n v="9.33"/>
    <n v="6.92"/>
    <x v="26"/>
    <n v="37354.160000000003"/>
    <n v="13009.18"/>
  </r>
  <r>
    <x v="3"/>
    <x v="26"/>
    <x v="3"/>
    <s v="online"/>
    <s v="Low"/>
    <x v="27"/>
    <n v="686048400"/>
    <d v="2010-05-10T00:00:00"/>
    <x v="0"/>
    <n v="5"/>
    <s v="May"/>
    <n v="3"/>
    <n v="5822"/>
    <n v="9.33"/>
    <n v="6.92"/>
    <x v="27"/>
    <n v="40288.239999999998"/>
    <n v="14031.02"/>
  </r>
  <r>
    <x v="2"/>
    <x v="20"/>
    <x v="9"/>
    <s v="offline"/>
    <s v="Critical"/>
    <x v="28"/>
    <n v="435608613"/>
    <d v="2014-07-30T00:00:00"/>
    <x v="2"/>
    <n v="7"/>
    <s v="Jul"/>
    <n v="12"/>
    <n v="5124"/>
    <n v="47.45"/>
    <n v="31.79"/>
    <x v="28"/>
    <n v="162891.96"/>
    <n v="80241.84"/>
  </r>
  <r>
    <x v="3"/>
    <x v="27"/>
    <x v="4"/>
    <s v="offline"/>
    <s v="Low"/>
    <x v="29"/>
    <n v="886494815"/>
    <d v="2012-06-09T00:00:00"/>
    <x v="1"/>
    <n v="5"/>
    <s v="May"/>
    <n v="14"/>
    <n v="2370"/>
    <n v="668.27"/>
    <n v="502.54"/>
    <x v="29"/>
    <n v="1191019.8"/>
    <n v="392780.1"/>
  </r>
  <r>
    <x v="2"/>
    <x v="28"/>
    <x v="8"/>
    <s v="offline"/>
    <s v="Medium"/>
    <x v="30"/>
    <n v="249693334"/>
    <d v="2012-10-20T00:00:00"/>
    <x v="1"/>
    <n v="9"/>
    <s v="Sep"/>
    <n v="33"/>
    <n v="8661"/>
    <n v="437.2"/>
    <n v="263.33"/>
    <x v="30"/>
    <n v="2280701.13"/>
    <n v="1505888.07"/>
  </r>
  <r>
    <x v="3"/>
    <x v="29"/>
    <x v="6"/>
    <s v="offline"/>
    <s v="Critical"/>
    <x v="31"/>
    <n v="406502997"/>
    <d v="2014-01-28T00:00:00"/>
    <x v="3"/>
    <n v="12"/>
    <s v="Dec"/>
    <n v="30"/>
    <n v="2125"/>
    <n v="81.73"/>
    <n v="56.67"/>
    <x v="31"/>
    <n v="120423.75"/>
    <n v="53252.5"/>
  </r>
  <r>
    <x v="0"/>
    <x v="30"/>
    <x v="2"/>
    <s v="online"/>
    <s v="Critical"/>
    <x v="32"/>
    <n v="158535134"/>
    <d v="2015-11-25T00:00:00"/>
    <x v="4"/>
    <n v="10"/>
    <s v="Oct"/>
    <n v="29"/>
    <n v="2924"/>
    <n v="651.21"/>
    <n v="524.96"/>
    <x v="32"/>
    <n v="1534983.04"/>
    <n v="369155"/>
  </r>
  <r>
    <x v="4"/>
    <x v="31"/>
    <x v="4"/>
    <s v="offline"/>
    <s v="High"/>
    <x v="33"/>
    <n v="177713572"/>
    <d v="2015-03-01T00:00:00"/>
    <x v="4"/>
    <n v="1"/>
    <s v="Jan"/>
    <n v="44"/>
    <n v="8250"/>
    <n v="668.27"/>
    <n v="502.54"/>
    <x v="33"/>
    <n v="4145955"/>
    <n v="1367272.5"/>
  </r>
  <r>
    <x v="3"/>
    <x v="32"/>
    <x v="11"/>
    <s v="online"/>
    <s v="Medium"/>
    <x v="34"/>
    <n v="756274640"/>
    <d v="2017-02-25T00:00:00"/>
    <x v="6"/>
    <n v="2"/>
    <s v="Feb"/>
    <n v="0"/>
    <n v="7327"/>
    <n v="152.58000000000001"/>
    <n v="97.44"/>
    <x v="34"/>
    <n v="713942.88"/>
    <n v="404010.78"/>
  </r>
  <r>
    <x v="1"/>
    <x v="33"/>
    <x v="6"/>
    <s v="offline"/>
    <s v="Low"/>
    <x v="35"/>
    <n v="456767165"/>
    <d v="2017-05-21T00:00:00"/>
    <x v="6"/>
    <n v="5"/>
    <s v="May"/>
    <n v="13"/>
    <n v="6409"/>
    <n v="81.73"/>
    <n v="56.67"/>
    <x v="35"/>
    <n v="363198.03"/>
    <n v="160609.54"/>
  </r>
  <r>
    <x v="5"/>
    <x v="34"/>
    <x v="3"/>
    <s v="online"/>
    <s v="Low"/>
    <x v="36"/>
    <n v="162052476"/>
    <d v="2011-12-03T00:00:00"/>
    <x v="5"/>
    <n v="11"/>
    <s v="Nov"/>
    <n v="11"/>
    <n v="3784"/>
    <n v="9.33"/>
    <n v="6.92"/>
    <x v="36"/>
    <n v="26185.279999999999"/>
    <n v="9119.44"/>
  </r>
  <r>
    <x v="3"/>
    <x v="27"/>
    <x v="10"/>
    <s v="online"/>
    <s v="Medium"/>
    <x v="37"/>
    <n v="825304400"/>
    <d v="2017-01-23T00:00:00"/>
    <x v="6"/>
    <n v="1"/>
    <s v="Jan"/>
    <n v="9"/>
    <n v="4767"/>
    <n v="421.89"/>
    <n v="364.69"/>
    <x v="37"/>
    <n v="1738477.23"/>
    <n v="272672.40000000002"/>
  </r>
  <r>
    <x v="4"/>
    <x v="35"/>
    <x v="2"/>
    <s v="online"/>
    <s v="Low"/>
    <x v="38"/>
    <n v="320009267"/>
    <d v="2012-05-08T00:00:00"/>
    <x v="1"/>
    <n v="4"/>
    <s v="Apr"/>
    <n v="37"/>
    <n v="6708"/>
    <n v="651.21"/>
    <n v="524.96"/>
    <x v="38"/>
    <n v="3521431.68"/>
    <n v="846885"/>
  </r>
  <r>
    <x v="2"/>
    <x v="15"/>
    <x v="2"/>
    <s v="online"/>
    <s v="Medium"/>
    <x v="39"/>
    <n v="189965903"/>
    <d v="2012-02-28T00:00:00"/>
    <x v="1"/>
    <n v="2"/>
    <s v="Feb"/>
    <n v="12"/>
    <n v="3987"/>
    <n v="651.21"/>
    <n v="524.96"/>
    <x v="39"/>
    <n v="2093015.52"/>
    <n v="503358.75"/>
  </r>
  <r>
    <x v="3"/>
    <x v="36"/>
    <x v="6"/>
    <s v="online"/>
    <s v="High"/>
    <x v="40"/>
    <n v="699285638"/>
    <d v="2017-03-28T00:00:00"/>
    <x v="6"/>
    <n v="3"/>
    <s v="Mar"/>
    <n v="17"/>
    <n v="3015"/>
    <n v="81.73"/>
    <n v="56.67"/>
    <x v="40"/>
    <n v="170860.05"/>
    <n v="75555.899999999994"/>
  </r>
  <r>
    <x v="5"/>
    <x v="37"/>
    <x v="8"/>
    <s v="online"/>
    <s v="Medium"/>
    <x v="41"/>
    <n v="382392299"/>
    <d v="2010-02-25T00:00:00"/>
    <x v="0"/>
    <n v="2"/>
    <s v="Feb"/>
    <n v="19"/>
    <n v="7234"/>
    <n v="437.2"/>
    <n v="263.33"/>
    <x v="41"/>
    <n v="1904929.22"/>
    <n v="1257775.58"/>
  </r>
  <r>
    <x v="3"/>
    <x v="27"/>
    <x v="1"/>
    <s v="offline"/>
    <s v="High"/>
    <x v="42"/>
    <n v="994022214"/>
    <d v="2012-06-08T00:00:00"/>
    <x v="1"/>
    <n v="6"/>
    <s v="Jun"/>
    <n v="1"/>
    <n v="2117"/>
    <n v="205.7"/>
    <n v="117.11"/>
    <x v="42"/>
    <n v="247921.87"/>
    <n v="187545.03"/>
  </r>
  <r>
    <x v="2"/>
    <x v="38"/>
    <x v="5"/>
    <s v="online"/>
    <s v="High"/>
    <x v="43"/>
    <n v="759224212"/>
    <d v="2012-11-10T00:00:00"/>
    <x v="1"/>
    <n v="10"/>
    <s v="Oct"/>
    <n v="35"/>
    <n v="171"/>
    <n v="154.06"/>
    <n v="90.93"/>
    <x v="43"/>
    <n v="15549.03"/>
    <n v="10795.23"/>
  </r>
  <r>
    <x v="4"/>
    <x v="31"/>
    <x v="7"/>
    <s v="online"/>
    <s v="High"/>
    <x v="44"/>
    <n v="223359620"/>
    <d v="2015-11-18T00:00:00"/>
    <x v="4"/>
    <n v="11"/>
    <s v="Nov"/>
    <n v="4"/>
    <n v="5930"/>
    <n v="109.28"/>
    <n v="35.840000000000003"/>
    <x v="44"/>
    <n v="212531.20000000001"/>
    <n v="435499.2"/>
  </r>
  <r>
    <x v="3"/>
    <x v="39"/>
    <x v="1"/>
    <s v="offline"/>
    <s v="High"/>
    <x v="45"/>
    <n v="902102267"/>
    <d v="2016-04-29T00:00:00"/>
    <x v="7"/>
    <n v="3"/>
    <s v="Mar"/>
    <n v="31"/>
    <n v="962"/>
    <n v="205.7"/>
    <n v="117.11"/>
    <x v="45"/>
    <n v="112659.82"/>
    <n v="85223.58"/>
  </r>
  <r>
    <x v="2"/>
    <x v="40"/>
    <x v="8"/>
    <s v="online"/>
    <s v="Critical"/>
    <x v="46"/>
    <n v="331438481"/>
    <d v="2016-12-31T00:00:00"/>
    <x v="7"/>
    <n v="12"/>
    <s v="Dec"/>
    <n v="0"/>
    <n v="8867"/>
    <n v="437.2"/>
    <n v="263.33"/>
    <x v="46"/>
    <n v="2334947.11"/>
    <n v="1541705.29"/>
  </r>
  <r>
    <x v="2"/>
    <x v="28"/>
    <x v="6"/>
    <s v="online"/>
    <s v="Medium"/>
    <x v="47"/>
    <n v="617667090"/>
    <d v="2011-01-31T00:00:00"/>
    <x v="0"/>
    <n v="12"/>
    <s v="Dec"/>
    <n v="39"/>
    <n v="273"/>
    <n v="81.73"/>
    <n v="56.67"/>
    <x v="47"/>
    <n v="15470.91"/>
    <n v="6841.38"/>
  </r>
  <r>
    <x v="2"/>
    <x v="41"/>
    <x v="7"/>
    <s v="offline"/>
    <s v="Critical"/>
    <x v="48"/>
    <n v="787399423"/>
    <d v="2014-11-14T00:00:00"/>
    <x v="2"/>
    <n v="10"/>
    <s v="Oct"/>
    <n v="31"/>
    <n v="7842"/>
    <n v="109.28"/>
    <n v="35.840000000000003"/>
    <x v="48"/>
    <n v="281057.28000000003"/>
    <n v="575916.48"/>
  </r>
  <r>
    <x v="3"/>
    <x v="42"/>
    <x v="2"/>
    <s v="offline"/>
    <s v="Critical"/>
    <x v="49"/>
    <n v="837559306"/>
    <d v="2012-01-13T00:00:00"/>
    <x v="1"/>
    <n v="1"/>
    <s v="Jan"/>
    <n v="2"/>
    <n v="1266"/>
    <n v="651.21"/>
    <n v="524.96"/>
    <x v="49"/>
    <n v="664599.36"/>
    <n v="159832.5"/>
  </r>
  <r>
    <x v="2"/>
    <x v="43"/>
    <x v="7"/>
    <s v="online"/>
    <s v="Critical"/>
    <x v="50"/>
    <n v="385383069"/>
    <d v="2010-03-18T00:00:00"/>
    <x v="0"/>
    <n v="2"/>
    <s v="Feb"/>
    <n v="44"/>
    <n v="2269"/>
    <n v="109.28"/>
    <n v="35.840000000000003"/>
    <x v="50"/>
    <n v="81320.960000000006"/>
    <n v="166635.35999999999"/>
  </r>
  <r>
    <x v="3"/>
    <x v="44"/>
    <x v="3"/>
    <s v="online"/>
    <s v="Low"/>
    <x v="51"/>
    <n v="918419539"/>
    <d v="2013-09-18T00:00:00"/>
    <x v="3"/>
    <n v="8"/>
    <s v="Aug"/>
    <n v="31"/>
    <n v="9606"/>
    <n v="9.33"/>
    <n v="6.92"/>
    <x v="51"/>
    <n v="66473.52"/>
    <n v="23150.46"/>
  </r>
  <r>
    <x v="5"/>
    <x v="45"/>
    <x v="1"/>
    <s v="online"/>
    <s v="Medium"/>
    <x v="52"/>
    <n v="844530045"/>
    <d v="2013-03-28T00:00:00"/>
    <x v="3"/>
    <n v="3"/>
    <s v="Mar"/>
    <n v="3"/>
    <n v="4063"/>
    <n v="205.7"/>
    <n v="117.11"/>
    <x v="52"/>
    <n v="475817.93"/>
    <n v="359941.17"/>
  </r>
  <r>
    <x v="3"/>
    <x v="46"/>
    <x v="2"/>
    <s v="offline"/>
    <s v="Medium"/>
    <x v="53"/>
    <n v="441888415"/>
    <d v="2012-01-07T00:00:00"/>
    <x v="5"/>
    <n v="11"/>
    <s v="Nov"/>
    <n v="42"/>
    <n v="3457"/>
    <n v="651.21"/>
    <n v="524.96"/>
    <x v="53"/>
    <n v="1814786.72"/>
    <n v="436446.25"/>
  </r>
  <r>
    <x v="3"/>
    <x v="3"/>
    <x v="3"/>
    <s v="offline"/>
    <s v="High"/>
    <x v="54"/>
    <n v="508980977"/>
    <d v="2013-10-24T00:00:00"/>
    <x v="3"/>
    <n v="9"/>
    <s v="Sep"/>
    <n v="37"/>
    <n v="7637"/>
    <n v="9.33"/>
    <n v="6.92"/>
    <x v="54"/>
    <n v="52848.04"/>
    <n v="18405.169999999998"/>
  </r>
  <r>
    <x v="3"/>
    <x v="47"/>
    <x v="7"/>
    <s v="online"/>
    <s v="Critical"/>
    <x v="55"/>
    <n v="114606559"/>
    <d v="2012-06-27T00:00:00"/>
    <x v="1"/>
    <n v="6"/>
    <s v="Jun"/>
    <n v="19"/>
    <n v="3482"/>
    <n v="109.28"/>
    <n v="35.840000000000003"/>
    <x v="55"/>
    <n v="124794.88"/>
    <n v="255718.08"/>
  </r>
  <r>
    <x v="0"/>
    <x v="48"/>
    <x v="7"/>
    <s v="offline"/>
    <s v="Critical"/>
    <x v="56"/>
    <n v="647876489"/>
    <d v="2010-08-01T00:00:00"/>
    <x v="0"/>
    <n v="6"/>
    <s v="Jun"/>
    <n v="32"/>
    <n v="9905"/>
    <n v="109.28"/>
    <n v="35.840000000000003"/>
    <x v="56"/>
    <n v="354995.20000000001"/>
    <n v="727423.2"/>
  </r>
  <r>
    <x v="2"/>
    <x v="49"/>
    <x v="8"/>
    <s v="offline"/>
    <s v="High"/>
    <x v="57"/>
    <n v="868214595"/>
    <d v="2015-03-02T00:00:00"/>
    <x v="4"/>
    <n v="2"/>
    <s v="Feb"/>
    <n v="7"/>
    <n v="2847"/>
    <n v="437.2"/>
    <n v="263.33"/>
    <x v="57"/>
    <n v="749700.51"/>
    <n v="495007.89"/>
  </r>
  <r>
    <x v="2"/>
    <x v="50"/>
    <x v="4"/>
    <s v="online"/>
    <s v="Low"/>
    <x v="58"/>
    <n v="955357205"/>
    <d v="2012-02-14T00:00:00"/>
    <x v="1"/>
    <n v="1"/>
    <s v="Jan"/>
    <n v="40"/>
    <n v="282"/>
    <n v="668.27"/>
    <n v="502.54"/>
    <x v="58"/>
    <n v="141716.28"/>
    <n v="46735.86"/>
  </r>
  <r>
    <x v="3"/>
    <x v="32"/>
    <x v="8"/>
    <s v="offline"/>
    <s v="High"/>
    <x v="59"/>
    <n v="259353148"/>
    <d v="2014-04-19T00:00:00"/>
    <x v="2"/>
    <n v="4"/>
    <s v="Apr"/>
    <n v="12"/>
    <n v="7215"/>
    <n v="437.2"/>
    <n v="263.33"/>
    <x v="59"/>
    <n v="1899925.95"/>
    <n v="1254472.05"/>
  </r>
  <r>
    <x v="0"/>
    <x v="30"/>
    <x v="1"/>
    <s v="offline"/>
    <s v="High"/>
    <x v="60"/>
    <n v="450563752"/>
    <d v="2013-07-02T00:00:00"/>
    <x v="3"/>
    <n v="6"/>
    <s v="Jun"/>
    <n v="23"/>
    <n v="682"/>
    <n v="205.7"/>
    <n v="117.11"/>
    <x v="60"/>
    <n v="79869.02"/>
    <n v="60418.38"/>
  </r>
  <r>
    <x v="2"/>
    <x v="51"/>
    <x v="0"/>
    <s v="online"/>
    <s v="Low"/>
    <x v="61"/>
    <n v="569662845"/>
    <d v="2013-07-01T00:00:00"/>
    <x v="3"/>
    <n v="6"/>
    <s v="Jun"/>
    <n v="5"/>
    <n v="4750"/>
    <n v="255.28"/>
    <n v="159.41999999999999"/>
    <x v="61"/>
    <n v="757245"/>
    <n v="455335"/>
  </r>
  <r>
    <x v="3"/>
    <x v="17"/>
    <x v="2"/>
    <s v="online"/>
    <s v="Medium"/>
    <x v="62"/>
    <n v="177636754"/>
    <d v="2011-11-15T00:00:00"/>
    <x v="5"/>
    <n v="11"/>
    <s v="Nov"/>
    <n v="8"/>
    <n v="5518"/>
    <n v="651.21"/>
    <n v="524.96"/>
    <x v="62"/>
    <n v="2896729.28"/>
    <n v="696647.5"/>
  </r>
  <r>
    <x v="5"/>
    <x v="52"/>
    <x v="7"/>
    <s v="offline"/>
    <s v="High"/>
    <x v="63"/>
    <n v="705784308"/>
    <d v="2010-11-17T00:00:00"/>
    <x v="0"/>
    <n v="10"/>
    <s v="Oct"/>
    <n v="18"/>
    <n v="6116"/>
    <n v="109.28"/>
    <n v="35.840000000000003"/>
    <x v="63"/>
    <n v="219197.44"/>
    <n v="449159.04"/>
  </r>
  <r>
    <x v="1"/>
    <x v="53"/>
    <x v="8"/>
    <s v="offline"/>
    <s v="High"/>
    <x v="64"/>
    <n v="505716836"/>
    <d v="2013-11-16T00:00:00"/>
    <x v="3"/>
    <n v="10"/>
    <s v="Oct"/>
    <n v="34"/>
    <n v="1705"/>
    <n v="437.2"/>
    <n v="263.33"/>
    <x v="64"/>
    <n v="448977.65"/>
    <n v="296448.34999999998"/>
  </r>
  <r>
    <x v="3"/>
    <x v="4"/>
    <x v="8"/>
    <s v="offline"/>
    <s v="High"/>
    <x v="65"/>
    <n v="699358165"/>
    <d v="2013-11-25T00:00:00"/>
    <x v="3"/>
    <n v="10"/>
    <s v="Oct"/>
    <n v="45"/>
    <n v="4477"/>
    <n v="437.2"/>
    <n v="263.33"/>
    <x v="65"/>
    <n v="1178928.4099999999"/>
    <n v="778415.99"/>
  </r>
  <r>
    <x v="3"/>
    <x v="54"/>
    <x v="6"/>
    <s v="offline"/>
    <s v="Low"/>
    <x v="66"/>
    <n v="228944623"/>
    <d v="2012-07-09T00:00:00"/>
    <x v="1"/>
    <n v="7"/>
    <s v="Jul"/>
    <n v="1"/>
    <n v="8656"/>
    <n v="81.73"/>
    <n v="56.67"/>
    <x v="66"/>
    <n v="490535.52"/>
    <n v="216919.36"/>
  </r>
  <r>
    <x v="1"/>
    <x v="55"/>
    <x v="7"/>
    <s v="offline"/>
    <s v="Medium"/>
    <x v="67"/>
    <n v="807025039"/>
    <d v="2016-09-07T00:00:00"/>
    <x v="7"/>
    <n v="7"/>
    <s v="Jul"/>
    <n v="44"/>
    <n v="5498"/>
    <n v="109.28"/>
    <n v="35.840000000000003"/>
    <x v="67"/>
    <n v="197048.32000000001"/>
    <n v="403773.12"/>
  </r>
  <r>
    <x v="2"/>
    <x v="56"/>
    <x v="2"/>
    <s v="offline"/>
    <s v="High"/>
    <x v="68"/>
    <n v="166460740"/>
    <d v="2010-11-17T00:00:00"/>
    <x v="0"/>
    <n v="10"/>
    <s v="Oct"/>
    <n v="24"/>
    <n v="8287"/>
    <n v="651.21"/>
    <n v="524.96"/>
    <x v="68"/>
    <n v="4350343.5199999996"/>
    <n v="1046233.75"/>
  </r>
  <r>
    <x v="3"/>
    <x v="57"/>
    <x v="7"/>
    <s v="offline"/>
    <s v="Low"/>
    <x v="69"/>
    <n v="610425555"/>
    <d v="2015-05-28T00:00:00"/>
    <x v="4"/>
    <n v="4"/>
    <s v="Apr"/>
    <n v="33"/>
    <n v="7342"/>
    <n v="109.28"/>
    <n v="35.840000000000003"/>
    <x v="69"/>
    <n v="263137.28000000003"/>
    <n v="539196.48"/>
  </r>
  <r>
    <x v="4"/>
    <x v="18"/>
    <x v="2"/>
    <s v="online"/>
    <s v="Medium"/>
    <x v="70"/>
    <n v="462405812"/>
    <d v="2013-05-20T00:00:00"/>
    <x v="3"/>
    <n v="4"/>
    <s v="Apr"/>
    <n v="27"/>
    <n v="5010"/>
    <n v="651.21"/>
    <n v="524.96"/>
    <x v="70"/>
    <n v="2630049.6"/>
    <n v="632512.5"/>
  </r>
  <r>
    <x v="5"/>
    <x v="52"/>
    <x v="3"/>
    <s v="online"/>
    <s v="Low"/>
    <x v="71"/>
    <n v="816200339"/>
    <d v="2015-09-30T00:00:00"/>
    <x v="4"/>
    <n v="8"/>
    <s v="Aug"/>
    <n v="47"/>
    <n v="673"/>
    <n v="9.33"/>
    <n v="6.92"/>
    <x v="71"/>
    <n v="4657.16"/>
    <n v="1621.93"/>
  </r>
  <r>
    <x v="3"/>
    <x v="58"/>
    <x v="9"/>
    <s v="online"/>
    <s v="Critical"/>
    <x v="72"/>
    <n v="585920464"/>
    <d v="2011-07-15T00:00:00"/>
    <x v="5"/>
    <n v="5"/>
    <s v="May"/>
    <n v="50"/>
    <n v="5741"/>
    <n v="47.45"/>
    <n v="31.79"/>
    <x v="72"/>
    <n v="182506.39"/>
    <n v="89904.06"/>
  </r>
  <r>
    <x v="3"/>
    <x v="32"/>
    <x v="1"/>
    <s v="online"/>
    <s v="High"/>
    <x v="73"/>
    <n v="555990016"/>
    <d v="2017-06-17T00:00:00"/>
    <x v="6"/>
    <n v="5"/>
    <s v="May"/>
    <n v="28"/>
    <n v="8656"/>
    <n v="205.7"/>
    <n v="117.11"/>
    <x v="73"/>
    <n v="1013704.16"/>
    <n v="766835.04"/>
  </r>
  <r>
    <x v="5"/>
    <x v="59"/>
    <x v="8"/>
    <s v="offline"/>
    <s v="Low"/>
    <x v="74"/>
    <n v="231145322"/>
    <d v="2013-08-16T00:00:00"/>
    <x v="3"/>
    <n v="7"/>
    <s v="Jul"/>
    <n v="42"/>
    <n v="9892"/>
    <n v="437.2"/>
    <n v="263.33"/>
    <x v="74"/>
    <n v="2604860.36"/>
    <n v="1719922.04"/>
  </r>
  <r>
    <x v="6"/>
    <x v="60"/>
    <x v="4"/>
    <s v="offline"/>
    <s v="Critical"/>
    <x v="75"/>
    <n v="986435210"/>
    <d v="2014-12-12T00:00:00"/>
    <x v="2"/>
    <n v="11"/>
    <s v="Nov"/>
    <n v="36"/>
    <n v="6954"/>
    <n v="668.27"/>
    <n v="502.54"/>
    <x v="75"/>
    <n v="3494663.16"/>
    <n v="1152486.42"/>
  </r>
  <r>
    <x v="0"/>
    <x v="61"/>
    <x v="9"/>
    <s v="online"/>
    <s v="Critical"/>
    <x v="76"/>
    <n v="217221009"/>
    <d v="2014-11-15T00:00:00"/>
    <x v="2"/>
    <n v="10"/>
    <s v="Oct"/>
    <n v="18"/>
    <n v="9379"/>
    <n v="47.45"/>
    <n v="31.79"/>
    <x v="76"/>
    <n v="298158.40999999997"/>
    <n v="146875.14000000001"/>
  </r>
  <r>
    <x v="4"/>
    <x v="62"/>
    <x v="5"/>
    <s v="offline"/>
    <s v="Critical"/>
    <x v="77"/>
    <n v="789176547"/>
    <d v="2011-10-23T00:00:00"/>
    <x v="5"/>
    <n v="9"/>
    <s v="Sep"/>
    <n v="38"/>
    <n v="3732"/>
    <n v="154.06"/>
    <n v="90.93"/>
    <x v="77"/>
    <n v="339350.76"/>
    <n v="235601.16"/>
  </r>
  <r>
    <x v="2"/>
    <x v="63"/>
    <x v="0"/>
    <s v="offline"/>
    <s v="High"/>
    <x v="78"/>
    <n v="688288152"/>
    <d v="2012-06-02T00:00:00"/>
    <x v="1"/>
    <n v="5"/>
    <s v="May"/>
    <n v="4"/>
    <n v="8614"/>
    <n v="255.28"/>
    <n v="159.41999999999999"/>
    <x v="78"/>
    <n v="1373243.88"/>
    <n v="825738.04"/>
  </r>
  <r>
    <x v="0"/>
    <x v="64"/>
    <x v="8"/>
    <s v="online"/>
    <s v="High"/>
    <x v="79"/>
    <n v="670854651"/>
    <d v="2013-08-07T00:00:00"/>
    <x v="3"/>
    <n v="7"/>
    <s v="Jul"/>
    <n v="18"/>
    <n v="9654"/>
    <n v="437.2"/>
    <n v="263.33"/>
    <x v="79"/>
    <n v="2542187.8199999998"/>
    <n v="1678540.98"/>
  </r>
  <r>
    <x v="2"/>
    <x v="65"/>
    <x v="4"/>
    <s v="offline"/>
    <s v="Low"/>
    <x v="80"/>
    <n v="213487374"/>
    <d v="2012-11-30T00:00:00"/>
    <x v="1"/>
    <n v="10"/>
    <s v="Oct"/>
    <n v="40"/>
    <n v="4513"/>
    <n v="668.27"/>
    <n v="502.54"/>
    <x v="80"/>
    <n v="2267963.02"/>
    <n v="747939.49"/>
  </r>
  <r>
    <x v="5"/>
    <x v="66"/>
    <x v="7"/>
    <s v="online"/>
    <s v="Low"/>
    <x v="81"/>
    <n v="663110148"/>
    <d v="2012-10-08T00:00:00"/>
    <x v="1"/>
    <n v="9"/>
    <s v="Sep"/>
    <n v="20"/>
    <n v="7884"/>
    <n v="109.28"/>
    <n v="35.840000000000003"/>
    <x v="81"/>
    <n v="282562.56"/>
    <n v="579000.96"/>
  </r>
  <r>
    <x v="5"/>
    <x v="67"/>
    <x v="8"/>
    <s v="online"/>
    <s v="High"/>
    <x v="82"/>
    <n v="286959302"/>
    <d v="2016-12-08T00:00:00"/>
    <x v="7"/>
    <n v="11"/>
    <s v="Nov"/>
    <n v="23"/>
    <n v="6489"/>
    <n v="437.2"/>
    <n v="263.33"/>
    <x v="82"/>
    <n v="1708748.37"/>
    <n v="1128242.43"/>
  </r>
  <r>
    <x v="3"/>
    <x v="68"/>
    <x v="11"/>
    <s v="online"/>
    <s v="Low"/>
    <x v="83"/>
    <n v="122583663"/>
    <d v="2011-01-05T00:00:00"/>
    <x v="5"/>
    <n v="1"/>
    <s v="Jan"/>
    <n v="1"/>
    <n v="4085"/>
    <n v="152.58000000000001"/>
    <n v="97.44"/>
    <x v="83"/>
    <n v="398042.4"/>
    <n v="225246.9"/>
  </r>
  <r>
    <x v="3"/>
    <x v="69"/>
    <x v="5"/>
    <s v="online"/>
    <s v="Low"/>
    <x v="84"/>
    <n v="827844560"/>
    <d v="2012-04-07T00:00:00"/>
    <x v="1"/>
    <n v="3"/>
    <s v="Mar"/>
    <n v="20"/>
    <n v="6457"/>
    <n v="154.06"/>
    <n v="90.93"/>
    <x v="84"/>
    <n v="587135.01"/>
    <n v="407630.41"/>
  </r>
  <r>
    <x v="6"/>
    <x v="60"/>
    <x v="6"/>
    <s v="offline"/>
    <s v="Low"/>
    <x v="85"/>
    <n v="430915820"/>
    <d v="2012-03-20T00:00:00"/>
    <x v="1"/>
    <n v="2"/>
    <s v="Feb"/>
    <n v="32"/>
    <n v="6422"/>
    <n v="81.73"/>
    <n v="56.67"/>
    <x v="85"/>
    <n v="363934.74"/>
    <n v="160935.32"/>
  </r>
  <r>
    <x v="3"/>
    <x v="3"/>
    <x v="9"/>
    <s v="offline"/>
    <s v="Critical"/>
    <x v="86"/>
    <n v="180283772"/>
    <d v="2011-01-21T00:00:00"/>
    <x v="5"/>
    <n v="1"/>
    <s v="Jan"/>
    <n v="5"/>
    <n v="8829"/>
    <n v="47.45"/>
    <n v="31.79"/>
    <x v="86"/>
    <n v="280673.90999999997"/>
    <n v="138262.14000000001"/>
  </r>
  <r>
    <x v="3"/>
    <x v="27"/>
    <x v="0"/>
    <s v="offline"/>
    <s v="Medium"/>
    <x v="87"/>
    <n v="494747245"/>
    <d v="2014-03-20T00:00:00"/>
    <x v="2"/>
    <n v="2"/>
    <s v="Feb"/>
    <n v="45"/>
    <n v="5559"/>
    <n v="255.28"/>
    <n v="159.41999999999999"/>
    <x v="87"/>
    <n v="886215.78"/>
    <n v="532885.74"/>
  </r>
  <r>
    <x v="5"/>
    <x v="70"/>
    <x v="3"/>
    <s v="online"/>
    <s v="Medium"/>
    <x v="88"/>
    <n v="513417565"/>
    <d v="2012-05-18T00:00:00"/>
    <x v="1"/>
    <n v="4"/>
    <s v="Apr"/>
    <n v="18"/>
    <n v="522"/>
    <n v="9.33"/>
    <n v="6.92"/>
    <x v="88"/>
    <n v="3612.24"/>
    <n v="1258.02"/>
  </r>
  <r>
    <x v="2"/>
    <x v="71"/>
    <x v="9"/>
    <s v="offline"/>
    <s v="Critical"/>
    <x v="89"/>
    <n v="345718562"/>
    <d v="2016-11-25T00:00:00"/>
    <x v="7"/>
    <n v="10"/>
    <s v="Oct"/>
    <n v="33"/>
    <n v="4660"/>
    <n v="47.45"/>
    <n v="31.79"/>
    <x v="89"/>
    <n v="148141.4"/>
    <n v="72975.600000000006"/>
  </r>
  <r>
    <x v="3"/>
    <x v="46"/>
    <x v="2"/>
    <s v="offline"/>
    <s v="High"/>
    <x v="90"/>
    <n v="621386563"/>
    <d v="2016-12-14T00:00:00"/>
    <x v="7"/>
    <n v="12"/>
    <s v="Dec"/>
    <n v="8"/>
    <n v="948"/>
    <n v="651.21"/>
    <n v="524.96"/>
    <x v="90"/>
    <n v="497662.08"/>
    <n v="119685"/>
  </r>
  <r>
    <x v="0"/>
    <x v="30"/>
    <x v="9"/>
    <s v="offline"/>
    <s v="High"/>
    <x v="91"/>
    <n v="240470397"/>
    <d v="2014-07-11T00:00:00"/>
    <x v="2"/>
    <n v="7"/>
    <s v="Jul"/>
    <n v="4"/>
    <n v="9389"/>
    <n v="47.45"/>
    <n v="31.79"/>
    <x v="91"/>
    <n v="298476.31"/>
    <n v="147031.74"/>
  </r>
  <r>
    <x v="5"/>
    <x v="37"/>
    <x v="2"/>
    <s v="online"/>
    <s v="Medium"/>
    <x v="92"/>
    <n v="423331391"/>
    <d v="2012-07-24T00:00:00"/>
    <x v="1"/>
    <n v="6"/>
    <s v="Jun"/>
    <n v="41"/>
    <n v="2021"/>
    <n v="651.21"/>
    <n v="524.96"/>
    <x v="92"/>
    <n v="1060944.1599999999"/>
    <n v="255151.25"/>
  </r>
  <r>
    <x v="2"/>
    <x v="72"/>
    <x v="8"/>
    <s v="online"/>
    <s v="High"/>
    <x v="93"/>
    <n v="660643374"/>
    <d v="2010-12-25T00:00:00"/>
    <x v="0"/>
    <n v="11"/>
    <s v="Nov"/>
    <n v="29"/>
    <n v="7910"/>
    <n v="437.2"/>
    <n v="263.33"/>
    <x v="93"/>
    <n v="2082940.3"/>
    <n v="1375311.7"/>
  </r>
  <r>
    <x v="1"/>
    <x v="73"/>
    <x v="9"/>
    <s v="offline"/>
    <s v="Critical"/>
    <x v="94"/>
    <n v="963392674"/>
    <d v="2011-03-21T00:00:00"/>
    <x v="5"/>
    <n v="2"/>
    <s v="Feb"/>
    <n v="41"/>
    <n v="8156"/>
    <n v="47.45"/>
    <n v="31.79"/>
    <x v="94"/>
    <n v="259279.24"/>
    <n v="127722.96"/>
  </r>
  <r>
    <x v="3"/>
    <x v="26"/>
    <x v="7"/>
    <s v="online"/>
    <s v="Medium"/>
    <x v="95"/>
    <n v="512878119"/>
    <d v="2011-09-03T00:00:00"/>
    <x v="5"/>
    <n v="7"/>
    <s v="Jul"/>
    <n v="39"/>
    <n v="888"/>
    <n v="109.28"/>
    <n v="35.840000000000003"/>
    <x v="95"/>
    <n v="31825.919999999998"/>
    <n v="65214.720000000001"/>
  </r>
  <r>
    <x v="4"/>
    <x v="74"/>
    <x v="3"/>
    <s v="offline"/>
    <s v="Low"/>
    <x v="96"/>
    <n v="810711038"/>
    <d v="2011-12-28T00:00:00"/>
    <x v="5"/>
    <n v="11"/>
    <s v="Nov"/>
    <n v="47"/>
    <n v="6267"/>
    <n v="9.33"/>
    <n v="6.92"/>
    <x v="96"/>
    <n v="43367.64"/>
    <n v="15103.47"/>
  </r>
  <r>
    <x v="3"/>
    <x v="46"/>
    <x v="5"/>
    <s v="offline"/>
    <s v="Critical"/>
    <x v="97"/>
    <n v="728815257"/>
    <d v="2016-06-29T00:00:00"/>
    <x v="7"/>
    <n v="6"/>
    <s v="Jun"/>
    <n v="28"/>
    <n v="1485"/>
    <n v="154.06"/>
    <n v="90.93"/>
    <x v="97"/>
    <n v="135031.04999999999"/>
    <n v="93748.05"/>
  </r>
  <r>
    <x v="6"/>
    <x v="60"/>
    <x v="6"/>
    <s v="offline"/>
    <s v="Medium"/>
    <x v="98"/>
    <n v="559427106"/>
    <d v="2015-08-08T00:00:00"/>
    <x v="4"/>
    <n v="7"/>
    <s v="Jul"/>
    <n v="9"/>
    <n v="5767"/>
    <n v="81.73"/>
    <n v="56.67"/>
    <x v="98"/>
    <n v="326815.89"/>
    <n v="144521.01999999999"/>
  </r>
  <r>
    <x v="3"/>
    <x v="75"/>
    <x v="4"/>
    <s v="offline"/>
    <s v="Low"/>
    <x v="99"/>
    <n v="665095412"/>
    <d v="2012-02-15T00:00:00"/>
    <x v="1"/>
    <n v="2"/>
    <s v="Feb"/>
    <n v="5"/>
    <n v="5367"/>
    <n v="668.27"/>
    <n v="502.54"/>
    <x v="99"/>
    <n v="2697132.18"/>
    <n v="889472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58C84-554A-44C4-8249-6987ACE7DFE9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">
  <location ref="A72:B80" firstHeaderRow="1" firstDataRow="1" firstDataCol="1"/>
  <pivotFields count="23">
    <pivotField showAll="0"/>
    <pivotField showAll="0"/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axis="axisRow"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dragToRow="0" dragToCol="0" dragToPage="0" showAll="0" defaultSubtota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AVg. Order Value" fld="15" subtotal="average" baseField="8" baseItem="0" numFmtId="170"/>
  </dataFields>
  <formats count="12">
    <format dxfId="13">
      <pivotArea dataOnly="0" labelOnly="1" fieldPosition="0">
        <references count="1">
          <reference field="8" count="0"/>
        </references>
      </pivotArea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dataOnly="0" fieldPosition="0">
        <references count="1">
          <reference field="8" count="0"/>
        </references>
      </pivotArea>
    </format>
    <format dxfId="4">
      <pivotArea collapsedLevelsAreSubtotals="1" fieldPosition="0">
        <references count="1">
          <reference field="8" count="0"/>
        </references>
      </pivotArea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8F3C3-1BFF-4ECA-9779-898584945D8E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Region">
  <location ref="A29:B37" firstHeaderRow="1" firstDataRow="1" firstDataCol="1"/>
  <pivotFields count="23">
    <pivotField axis="axisRow" showAll="0" sortType="descending">
      <items count="8">
        <item x="4"/>
        <item x="0"/>
        <item x="1"/>
        <item x="2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>
      <items count="101">
        <item x="88"/>
        <item x="71"/>
        <item x="10"/>
        <item x="23"/>
        <item x="47"/>
        <item x="43"/>
        <item x="36"/>
        <item x="26"/>
        <item x="27"/>
        <item x="96"/>
        <item x="54"/>
        <item x="3"/>
        <item x="51"/>
        <item x="95"/>
        <item x="60"/>
        <item x="31"/>
        <item x="15"/>
        <item x="58"/>
        <item x="45"/>
        <item x="89"/>
        <item x="97"/>
        <item x="28"/>
        <item x="40"/>
        <item x="50"/>
        <item x="17"/>
        <item x="72"/>
        <item x="21"/>
        <item x="22"/>
        <item x="55"/>
        <item x="94"/>
        <item x="14"/>
        <item x="24"/>
        <item x="86"/>
        <item x="42"/>
        <item x="76"/>
        <item x="91"/>
        <item x="11"/>
        <item x="98"/>
        <item x="8"/>
        <item x="35"/>
        <item x="85"/>
        <item x="77"/>
        <item x="1"/>
        <item x="67"/>
        <item x="90"/>
        <item x="83"/>
        <item x="44"/>
        <item x="63"/>
        <item x="66"/>
        <item x="64"/>
        <item x="5"/>
        <item x="25"/>
        <item x="69"/>
        <item x="49"/>
        <item x="52"/>
        <item x="48"/>
        <item x="81"/>
        <item x="12"/>
        <item x="84"/>
        <item x="56"/>
        <item x="34"/>
        <item x="2"/>
        <item x="61"/>
        <item x="57"/>
        <item x="7"/>
        <item x="92"/>
        <item x="9"/>
        <item x="87"/>
        <item x="29"/>
        <item x="73"/>
        <item x="20"/>
        <item x="32"/>
        <item x="65"/>
        <item x="37"/>
        <item x="78"/>
        <item x="53"/>
        <item x="19"/>
        <item x="0"/>
        <item x="18"/>
        <item x="39"/>
        <item x="6"/>
        <item x="82"/>
        <item x="80"/>
        <item x="16"/>
        <item x="59"/>
        <item x="41"/>
        <item x="70"/>
        <item x="4"/>
        <item x="93"/>
        <item x="99"/>
        <item x="62"/>
        <item x="30"/>
        <item x="46"/>
        <item x="79"/>
        <item x="74"/>
        <item x="38"/>
        <item x="75"/>
        <item x="68"/>
        <item x="33"/>
        <item x="13"/>
        <item t="default"/>
      </items>
    </pivotField>
    <pivotField numFmtId="165" showAll="0"/>
    <pivotField numFmtId="165" showAll="0"/>
    <pivotField dragToRow="0" dragToCol="0" dragToPage="0" showAll="0" defaultSubtota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0"/>
  </rowFields>
  <rowItems count="8">
    <i>
      <x v="6"/>
    </i>
    <i>
      <x v="3"/>
    </i>
    <i>
      <x/>
    </i>
    <i>
      <x v="1"/>
    </i>
    <i>
      <x v="4"/>
    </i>
    <i>
      <x v="2"/>
    </i>
    <i>
      <x v="5"/>
    </i>
    <i t="grand">
      <x/>
    </i>
  </rowItems>
  <colItems count="1">
    <i/>
  </colItems>
  <dataFields count="1">
    <dataField name="Annual Revenue Contribution Rate" fld="15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83139-51EA-41E6-93BC-8BE5EEEFF11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4:C12" firstHeaderRow="0" firstDataRow="1" firstDataCol="1"/>
  <pivotFields count="23">
    <pivotField axis="axisRow" showAll="0" sortType="descending">
      <items count="8">
        <item x="4"/>
        <item x="0"/>
        <item x="1"/>
        <item x="2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dataField="1" numFmtId="165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ragToRow="0" dragToCol="0" dragToPage="0" showAll="0" defaultSubtotal="0"/>
  </pivotFields>
  <rowFields count="1">
    <field x="0"/>
  </rowFields>
  <rowItems count="8">
    <i>
      <x v="6"/>
    </i>
    <i>
      <x v="3"/>
    </i>
    <i>
      <x/>
    </i>
    <i>
      <x v="1"/>
    </i>
    <i>
      <x v="4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Total " fld="15" baseField="0" baseItem="0" numFmtId="165"/>
    <dataField name="Profit Total" fld="17" baseField="0" baseItem="0" numFmtId="165"/>
  </dataFields>
  <formats count="4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5E247-6A6B-4378-B2F8-14C63E11CF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">
  <location ref="A16:B25" firstHeaderRow="1" firstDataRow="1" firstDataCol="1"/>
  <pivotFields count="23">
    <pivotField showAll="0"/>
    <pivotField showAll="0"/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axis="axisRow"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dragToRow="0" dragToCol="0" dragToPage="0" showAll="0" defaultSubtota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Annual Revenue" fld="15" baseField="8" baseItem="0" numFmtId="170"/>
  </dataFields>
  <formats count="5">
    <format dxfId="26">
      <pivotArea dataOnly="0" labelOnly="1" fieldPosition="0">
        <references count="1">
          <reference field="8" count="0"/>
        </references>
      </pivotArea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8D62B-AF85-41CB-8048-D379F31058B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ies">
  <location ref="P45:Q50" firstHeaderRow="1" firstDataRow="1" firstDataCol="1"/>
  <pivotFields count="23">
    <pivotField showAll="0"/>
    <pivotField axis="axisRow" showAll="0" measureFilter="1" sortType="descending">
      <items count="77">
        <item x="43"/>
        <item x="6"/>
        <item x="30"/>
        <item x="49"/>
        <item x="37"/>
        <item x="12"/>
        <item x="55"/>
        <item x="35"/>
        <item x="15"/>
        <item x="7"/>
        <item x="17"/>
        <item x="11"/>
        <item x="39"/>
        <item x="33"/>
        <item x="47"/>
        <item x="58"/>
        <item x="32"/>
        <item x="19"/>
        <item x="61"/>
        <item x="48"/>
        <item x="24"/>
        <item x="54"/>
        <item x="1"/>
        <item x="53"/>
        <item x="13"/>
        <item x="40"/>
        <item x="67"/>
        <item x="69"/>
        <item x="25"/>
        <item x="70"/>
        <item x="10"/>
        <item x="62"/>
        <item x="66"/>
        <item x="44"/>
        <item x="52"/>
        <item x="56"/>
        <item x="41"/>
        <item x="57"/>
        <item x="74"/>
        <item x="26"/>
        <item x="42"/>
        <item x="60"/>
        <item x="23"/>
        <item x="63"/>
        <item x="14"/>
        <item x="75"/>
        <item x="31"/>
        <item x="22"/>
        <item x="73"/>
        <item x="36"/>
        <item x="20"/>
        <item x="59"/>
        <item x="21"/>
        <item x="8"/>
        <item x="72"/>
        <item x="2"/>
        <item x="4"/>
        <item x="64"/>
        <item x="51"/>
        <item x="3"/>
        <item x="45"/>
        <item x="9"/>
        <item x="46"/>
        <item x="38"/>
        <item x="71"/>
        <item x="5"/>
        <item x="29"/>
        <item x="65"/>
        <item x="16"/>
        <item x="28"/>
        <item x="34"/>
        <item x="27"/>
        <item x="18"/>
        <item x="0"/>
        <item x="50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dragToRow="0" dragToCol="0" dragToPage="0" showAll="0" defaultSubtota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1"/>
  </rowFields>
  <rowItems count="5">
    <i>
      <x v="63"/>
    </i>
    <i>
      <x v="47"/>
    </i>
    <i>
      <x v="30"/>
    </i>
    <i>
      <x v="29"/>
    </i>
    <i t="grand">
      <x/>
    </i>
  </rowItems>
  <colItems count="1">
    <i/>
  </colItems>
  <dataFields count="1">
    <dataField name="Revenue Total" fld="15" baseField="1" baseItem="63" numFmtId="170"/>
  </dataFields>
  <formats count="7">
    <format dxfId="33">
      <pivotArea outline="0" collapsedLevelsAreSubtotals="1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4">
            <x v="29"/>
            <x v="30"/>
            <x v="47"/>
            <x v="63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B3183-45AB-476F-A9B3-90468B33E066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P28:T40" firstHeaderRow="0" firstDataRow="1" firstDataCol="1"/>
  <pivotFields count="23">
    <pivotField showAll="0" defaultSubtotal="0"/>
    <pivotField showAll="0" defaultSubtotal="0"/>
    <pivotField axis="axisRow" showAll="0" defaultSubtotal="0">
      <items count="12">
        <item x="0"/>
        <item x="9"/>
        <item x="1"/>
        <item x="7"/>
        <item x="8"/>
        <item x="3"/>
        <item x="4"/>
        <item x="10"/>
        <item x="2"/>
        <item x="6"/>
        <item x="11"/>
        <item x="5"/>
      </items>
    </pivotField>
    <pivotField showAll="0" defaultSubtotal="0"/>
    <pivotField showAll="0" defaultSubtotal="0"/>
    <pivotField numFmtId="167" showAll="0" defaultSubtotal="0">
      <items count="100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</items>
    </pivotField>
    <pivotField showAll="0" defaultSubtotal="0"/>
    <pivotField numFmtId="167"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5" showAll="0" defaultSubtotal="0"/>
    <pivotField dataField="1" numFmtId="165" showAll="0" defaultSubtotal="0"/>
    <pivotField numFmtId="165" showAll="0" defaultSubtotal="0"/>
    <pivotField dataField="1"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venue Total" fld="15" baseField="2" baseItem="0" numFmtId="170"/>
    <dataField name="Cost Total" fld="16" baseField="2" baseItem="7" numFmtId="170"/>
    <dataField name="Profit (RT - CT)" fld="22" baseField="2" baseItem="0" numFmtId="170"/>
    <dataField name="Profit_margin" fld="18" baseField="2" baseItem="0" numFmtId="10"/>
  </dataFields>
  <formats count="6">
    <format dxfId="3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EB919-855D-4A1B-B45E-0AF77ECA93B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Year">
  <location ref="I5:V15" firstHeaderRow="1" firstDataRow="2" firstDataCol="1"/>
  <pivotFields count="23">
    <pivotField compact="0" outline="0" showAll="0"/>
    <pivotField compact="0" outline="0" showAll="0"/>
    <pivotField axis="axisCol" compact="0" outline="0" showAll="0">
      <items count="13"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compact="0" outline="0" showAll="0"/>
    <pivotField compact="0" outline="0" showAll="0"/>
    <pivotField compact="0" numFmtId="167" outline="0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compact="0" outline="0" showAll="0"/>
    <pivotField compact="0" numFmtId="167" outline="0" showAll="0"/>
    <pivotField axis="axisRow" compact="0" outline="0" showAll="0">
      <items count="9">
        <item sd="0" x="0"/>
        <item sd="0" x="5"/>
        <item sd="0" x="1"/>
        <item sd="0" x="3"/>
        <item sd="0" x="2"/>
        <item sd="0" x="4"/>
        <item sd="0" x="7"/>
        <item sd="0"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outline="0" dragToRow="0" dragToCol="0" dragToPage="0" showAll="0" defaultSubtota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compact="0" outline="0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compact="0" outline="0"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Total Units Sold" fld="12" baseField="8" baseItem="0" numFmtId="168"/>
  </dataFields>
  <formats count="9">
    <format dxfId="48">
      <pivotArea dataOnly="0" labelOnly="1" fieldPosition="0">
        <references count="1">
          <reference field="8" count="0"/>
        </references>
      </pivotArea>
    </format>
    <format dxfId="47">
      <pivotArea outline="0" collapsedLevelsAreSubtotals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8" type="button" dataOnly="0" labelOnly="1" outline="0" axis="axisRow" fieldPosition="0"/>
    </format>
    <format dxfId="43">
      <pivotArea field="2" type="button" dataOnly="0" labelOnly="1" outline="0" axis="axisCol" fieldPosition="0"/>
    </format>
    <format dxfId="42">
      <pivotArea dataOnly="0" labelOnly="1" outline="0" fieldPosition="0">
        <references count="1">
          <reference field="8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8BA7A-2CFF-48BA-B5D3-106EB275CE8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ies">
  <location ref="I44:J49" firstHeaderRow="1" firstDataRow="1" firstDataCol="1"/>
  <pivotFields count="23">
    <pivotField showAll="0"/>
    <pivotField axis="axisRow" showAll="0" measureFilter="1" sortType="ascending">
      <items count="77">
        <item x="43"/>
        <item x="6"/>
        <item x="30"/>
        <item x="49"/>
        <item x="37"/>
        <item x="12"/>
        <item x="55"/>
        <item x="35"/>
        <item x="15"/>
        <item x="7"/>
        <item x="17"/>
        <item x="11"/>
        <item x="39"/>
        <item x="33"/>
        <item x="47"/>
        <item x="58"/>
        <item x="32"/>
        <item x="19"/>
        <item x="61"/>
        <item x="48"/>
        <item x="24"/>
        <item x="54"/>
        <item x="1"/>
        <item x="53"/>
        <item x="13"/>
        <item x="40"/>
        <item x="67"/>
        <item x="69"/>
        <item x="25"/>
        <item x="70"/>
        <item x="10"/>
        <item x="62"/>
        <item x="66"/>
        <item x="44"/>
        <item x="52"/>
        <item x="56"/>
        <item x="41"/>
        <item x="57"/>
        <item x="74"/>
        <item x="26"/>
        <item x="42"/>
        <item x="60"/>
        <item x="23"/>
        <item x="63"/>
        <item x="14"/>
        <item x="75"/>
        <item x="31"/>
        <item x="22"/>
        <item x="73"/>
        <item x="36"/>
        <item x="20"/>
        <item x="59"/>
        <item x="21"/>
        <item x="8"/>
        <item x="72"/>
        <item x="2"/>
        <item x="4"/>
        <item x="64"/>
        <item x="51"/>
        <item x="3"/>
        <item x="45"/>
        <item x="9"/>
        <item x="46"/>
        <item x="38"/>
        <item x="71"/>
        <item x="5"/>
        <item x="29"/>
        <item x="65"/>
        <item x="16"/>
        <item x="28"/>
        <item x="34"/>
        <item x="27"/>
        <item x="18"/>
        <item x="0"/>
        <item x="50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dragToRow="0" dragToCol="0" dragToPage="0" showAll="0" defaultSubtota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1"/>
  </rowFields>
  <rowItems count="5">
    <i>
      <x v="72"/>
    </i>
    <i>
      <x v="16"/>
    </i>
    <i>
      <x v="46"/>
    </i>
    <i>
      <x v="24"/>
    </i>
    <i t="grand">
      <x/>
    </i>
  </rowItems>
  <colItems count="1">
    <i/>
  </colItems>
  <dataFields count="1">
    <dataField name="Revenue Total" fld="15" baseField="1" baseItem="24" numFmtId="170"/>
  </dataFields>
  <formats count="7"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4">
            <x v="16"/>
            <x v="24"/>
            <x v="46"/>
            <x v="72"/>
          </reference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CC069-086E-46B3-AD2D-81CE871E19C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">
  <location ref="A58:C67" firstHeaderRow="0" firstDataRow="1" firstDataCol="1"/>
  <pivotFields count="23">
    <pivotField showAll="0"/>
    <pivotField showAll="0"/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axis="axisRow"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dragToRow="0" dragToCol="0" dragToPage="0" showAll="0" defaultSubtota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Total" fld="15" baseField="8" baseItem="0" numFmtId="170"/>
    <dataField name="Sum of Total Revenue" fld="15" showDataAs="percentDiff" baseField="8" baseItem="1048828" numFmtId="10"/>
  </dataFields>
  <formats count="6">
    <format dxfId="61">
      <pivotArea dataOnly="0" labelOnly="1" fieldPosition="0">
        <references count="1">
          <reference field="8" count="0"/>
        </references>
      </pivotArea>
    </format>
    <format dxfId="60">
      <pivotArea outline="0" fieldPosition="0">
        <references count="1">
          <reference field="4294967294" count="1">
            <x v="1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outline="0" collapsedLevelsAreSubtotals="1" fieldPosition="0"/>
    </format>
    <format dxfId="57">
      <pivotArea dataOnly="0" labelOnly="1" fieldPosition="0">
        <references count="1">
          <reference field="8" count="0"/>
        </references>
      </pivotArea>
    </format>
    <format dxfId="5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0D8AD-0EB8-4BA2-941C-67EBC4CE5AC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Year">
  <location ref="A43:B52" firstHeaderRow="1" firstDataRow="1" firstDataCol="1"/>
  <pivotFields count="23">
    <pivotField showAll="0"/>
    <pivotField showAll="0"/>
    <pivotField showAll="0"/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axis="axisRow"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Profit" fld="17" baseField="0" baseItem="0" numFmtId="165"/>
  </dataFields>
  <formats count="5">
    <format dxfId="66">
      <pivotArea dataOnly="0" labelOnly="1" fieldPosition="0">
        <references count="1">
          <reference field="8" count="0"/>
        </references>
      </pivotArea>
    </format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8" count="0"/>
        </references>
      </pivotArea>
    </format>
    <format dxfId="62">
      <pivotArea dataOnly="0" labelOnly="1" grandRow="1" outline="0" fieldPosition="0"/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20441-91D5-4E32-8B9C-DE685587F9A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tems">
  <location ref="I30:J34" firstHeaderRow="1" firstDataRow="1" firstDataCol="1"/>
  <pivotFields count="23">
    <pivotField showAll="0"/>
    <pivotField showAll="0"/>
    <pivotField axis="axisRow" showAll="0" measureFilter="1" sortType="descending">
      <items count="13">
        <item x="5"/>
        <item x="11"/>
        <item x="6"/>
        <item x="2"/>
        <item x="10"/>
        <item x="4"/>
        <item x="3"/>
        <item x="8"/>
        <item x="7"/>
        <item x="1"/>
        <item x="9"/>
        <item x="0"/>
        <item t="default"/>
      </items>
    </pivotField>
    <pivotField showAll="0"/>
    <pivotField showAll="0"/>
    <pivotField numFmtId="167" showAll="0">
      <items count="101">
        <item x="50"/>
        <item x="41"/>
        <item x="27"/>
        <item x="0"/>
        <item x="56"/>
        <item x="68"/>
        <item x="63"/>
        <item x="93"/>
        <item x="47"/>
        <item x="18"/>
        <item x="83"/>
        <item x="86"/>
        <item x="94"/>
        <item x="6"/>
        <item x="72"/>
        <item x="10"/>
        <item x="95"/>
        <item x="77"/>
        <item x="62"/>
        <item x="96"/>
        <item x="36"/>
        <item x="53"/>
        <item x="58"/>
        <item x="49"/>
        <item x="99"/>
        <item x="39"/>
        <item x="85"/>
        <item x="84"/>
        <item x="38"/>
        <item x="15"/>
        <item x="88"/>
        <item x="29"/>
        <item x="78"/>
        <item x="42"/>
        <item x="55"/>
        <item x="92"/>
        <item x="66"/>
        <item x="7"/>
        <item x="19"/>
        <item x="1"/>
        <item x="30"/>
        <item x="81"/>
        <item x="43"/>
        <item x="80"/>
        <item x="4"/>
        <item x="52"/>
        <item x="70"/>
        <item x="60"/>
        <item x="61"/>
        <item x="74"/>
        <item x="79"/>
        <item x="51"/>
        <item x="54"/>
        <item x="65"/>
        <item x="64"/>
        <item x="31"/>
        <item x="87"/>
        <item x="14"/>
        <item x="59"/>
        <item x="9"/>
        <item x="2"/>
        <item x="20"/>
        <item x="3"/>
        <item x="91"/>
        <item x="28"/>
        <item x="11"/>
        <item x="23"/>
        <item x="26"/>
        <item x="48"/>
        <item x="76"/>
        <item x="75"/>
        <item x="33"/>
        <item x="5"/>
        <item x="57"/>
        <item x="17"/>
        <item x="69"/>
        <item x="8"/>
        <item x="98"/>
        <item x="21"/>
        <item x="71"/>
        <item x="32"/>
        <item x="44"/>
        <item x="45"/>
        <item x="24"/>
        <item x="97"/>
        <item x="22"/>
        <item x="67"/>
        <item x="89"/>
        <item x="82"/>
        <item x="16"/>
        <item x="90"/>
        <item x="46"/>
        <item x="12"/>
        <item x="37"/>
        <item x="13"/>
        <item x="34"/>
        <item x="40"/>
        <item x="35"/>
        <item x="73"/>
        <item x="25"/>
        <item t="default"/>
      </items>
    </pivotField>
    <pivotField showAll="0"/>
    <pivotField numFmtId="167"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numFmtId="165" showAll="0"/>
    <pivotField numFmtId="165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ragToRow="0" dragToCol="0" dragToPage="0" showAll="0" defaultSubtotal="0"/>
  </pivotFields>
  <rowFields count="1">
    <field x="2"/>
  </rowFields>
  <rowItems count="4">
    <i>
      <x v="7"/>
    </i>
    <i>
      <x v="8"/>
    </i>
    <i>
      <x v="10"/>
    </i>
    <i t="grand">
      <x/>
    </i>
  </rowItems>
  <colItems count="1">
    <i/>
  </colItems>
  <dataFields count="1">
    <dataField name="Total Units Sold" fld="12" baseField="2" baseItem="1" numFmtId="168"/>
  </dataFields>
  <formats count="7">
    <format dxfId="73">
      <pivotArea outline="0" collapsedLevelsAreSubtotals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" type="button" dataOnly="0" labelOnly="1" outline="0" axis="axisRow" fieldPosition="0"/>
    </format>
    <format dxfId="69">
      <pivotArea dataOnly="0" labelOnly="1" fieldPosition="0">
        <references count="1">
          <reference field="2" count="3">
            <x v="7"/>
            <x v="8"/>
            <x v="10"/>
          </reference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19B06-743E-475B-BF25-E2F267964387}" name="In." displayName="In." ref="A1:R101" totalsRowShown="0" headerRowDxfId="90" dataDxfId="88" headerRowBorderDxfId="89" tableBorderDxfId="87" headerRowCellStyle="Currency" dataCellStyle="Currency">
  <autoFilter ref="A1:R101" xr:uid="{00000000-0001-0000-0000-000000000000}"/>
  <tableColumns count="18">
    <tableColumn id="1" xr3:uid="{635D1AB8-1CDA-4B34-8C76-F4743A3F3B28}" name="Region"/>
    <tableColumn id="2" xr3:uid="{FDB32C41-5D7D-4B32-BF0D-8971D3A21C26}" name="Country"/>
    <tableColumn id="3" xr3:uid="{FD3A1955-C481-48F3-9ED8-1AB45EE27D98}" name="Item Type"/>
    <tableColumn id="4" xr3:uid="{DB038B9F-1180-40E6-9B4B-63551DF66FFA}" name="Sales Channel"/>
    <tableColumn id="5" xr3:uid="{9893730F-4470-44AF-A5B6-AF9D72761775}" name="Order Priority"/>
    <tableColumn id="6" xr3:uid="{6E35763A-B9FD-423E-91BA-CB688CA3A016}" name="Order Date" dataDxfId="86"/>
    <tableColumn id="7" xr3:uid="{A38CF921-BE18-46B3-BA7D-7629B3508553}" name="Order ID" dataDxfId="85"/>
    <tableColumn id="8" xr3:uid="{3A3F25DE-F978-4EED-85A6-9B3F39A90A14}" name="Ship Date" dataDxfId="84"/>
    <tableColumn id="9" xr3:uid="{7C55A1E2-38D9-4803-A481-1E990F69830F}" name="Order Year" dataDxfId="83">
      <calculatedColumnFormula>YEAR(F2)</calculatedColumnFormula>
    </tableColumn>
    <tableColumn id="10" xr3:uid="{318020AF-BA10-4749-8415-0D48F97A299A}" name="Order month (Figure)" dataDxfId="82">
      <calculatedColumnFormula>MONTH(F2)</calculatedColumnFormula>
    </tableColumn>
    <tableColumn id="11" xr3:uid="{B4CCB513-FAF5-4E1E-8426-0772D00300D6}" name="Order month" dataDxfId="81">
      <calculatedColumnFormula>TEXT(F2,"mmm")</calculatedColumnFormula>
    </tableColumn>
    <tableColumn id="12" xr3:uid="{2FED7FCF-1870-44E4-9E84-650663EDD384}" name="Days to ship" dataDxfId="80">
      <calculatedColumnFormula>H2-F2</calculatedColumnFormula>
    </tableColumn>
    <tableColumn id="13" xr3:uid="{D3FCD2B9-4292-4F86-AE78-A2FC2B0EE537}" name="Units Sold" dataDxfId="79"/>
    <tableColumn id="14" xr3:uid="{0E4886B2-5A68-45D5-8A3D-4416753111DE}" name="Unit Price" dataDxfId="78"/>
    <tableColumn id="15" xr3:uid="{20CE655F-2A94-4437-83E6-BB887023DB84}" name="Unit Cost" dataDxfId="77"/>
    <tableColumn id="16" xr3:uid="{F69FDE04-ECE6-4613-BF12-F9F068C16A0E}" name="Total Revenue" dataDxfId="76" dataCellStyle="Currency"/>
    <tableColumn id="17" xr3:uid="{B91736C1-FADD-46D2-B3BB-25159C7F710D}" name="Total Cost" dataDxfId="75" dataCellStyle="Currency"/>
    <tableColumn id="18" xr3:uid="{29358F14-E45D-4AD1-B226-D1638BE3A004}" name="Total Profit" dataDxfId="74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0A5B-1A8E-418C-A4BF-C8529BFB3F6B}">
  <dimension ref="A1:N101"/>
  <sheetViews>
    <sheetView zoomScaleNormal="100" workbookViewId="0">
      <selection activeCell="K2" sqref="K2"/>
    </sheetView>
  </sheetViews>
  <sheetFormatPr defaultRowHeight="14.4" x14ac:dyDescent="0.3"/>
  <cols>
    <col min="1" max="1" width="29.77734375" bestFit="1" customWidth="1"/>
    <col min="2" max="2" width="29.21875" bestFit="1" customWidth="1"/>
    <col min="3" max="3" width="13.109375" bestFit="1" customWidth="1"/>
    <col min="4" max="4" width="12.109375" bestFit="1" customWidth="1"/>
    <col min="5" max="5" width="12" bestFit="1" customWidth="1"/>
    <col min="6" max="6" width="16.88671875" bestFit="1" customWidth="1"/>
    <col min="7" max="7" width="15.21875" style="1" customWidth="1"/>
    <col min="8" max="8" width="12.5546875" style="10" bestFit="1" customWidth="1"/>
    <col min="9" max="9" width="16.88671875" style="11" bestFit="1" customWidth="1"/>
    <col min="10" max="10" width="15.88671875" style="11" bestFit="1" customWidth="1"/>
    <col min="11" max="11" width="15.77734375" style="11" bestFit="1" customWidth="1"/>
    <col min="12" max="12" width="16.88671875" style="11" bestFit="1" customWidth="1"/>
    <col min="13" max="13" width="16.77734375" style="11" bestFit="1" customWidth="1"/>
    <col min="14" max="14" width="16.88671875" style="11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115</v>
      </c>
      <c r="F2">
        <v>40326</v>
      </c>
      <c r="G2" s="1">
        <v>669165933</v>
      </c>
      <c r="H2" s="10">
        <v>40356</v>
      </c>
      <c r="I2" s="11">
        <v>9925</v>
      </c>
      <c r="J2" s="11">
        <v>255.28</v>
      </c>
      <c r="K2" s="11">
        <v>159.41999999999999</v>
      </c>
      <c r="L2" s="11">
        <v>2533654</v>
      </c>
      <c r="M2" s="11">
        <v>1582243.5</v>
      </c>
      <c r="N2" s="11">
        <v>951410.5</v>
      </c>
    </row>
    <row r="3" spans="1:14" x14ac:dyDescent="0.3">
      <c r="A3" t="s">
        <v>18</v>
      </c>
      <c r="B3" t="s">
        <v>19</v>
      </c>
      <c r="C3" t="s">
        <v>20</v>
      </c>
      <c r="D3" t="s">
        <v>21</v>
      </c>
      <c r="E3" t="s">
        <v>116</v>
      </c>
      <c r="F3">
        <v>41143</v>
      </c>
      <c r="G3" s="1">
        <v>963881480</v>
      </c>
      <c r="H3" s="10">
        <v>41167</v>
      </c>
      <c r="I3" s="11">
        <v>2804</v>
      </c>
      <c r="J3" s="11">
        <v>205.7</v>
      </c>
      <c r="K3" s="11">
        <v>117.11</v>
      </c>
      <c r="L3" s="11">
        <v>576782.80000000005</v>
      </c>
      <c r="M3" s="11">
        <v>328376.44</v>
      </c>
      <c r="N3" s="11">
        <v>248406.36</v>
      </c>
    </row>
    <row r="4" spans="1:14" x14ac:dyDescent="0.3">
      <c r="A4" t="s">
        <v>22</v>
      </c>
      <c r="B4" t="s">
        <v>23</v>
      </c>
      <c r="C4" t="s">
        <v>24</v>
      </c>
      <c r="D4" t="s">
        <v>17</v>
      </c>
      <c r="E4" t="s">
        <v>117</v>
      </c>
      <c r="F4">
        <v>41761</v>
      </c>
      <c r="G4" s="1">
        <v>341417157</v>
      </c>
      <c r="H4" s="10">
        <v>41767</v>
      </c>
      <c r="I4" s="11">
        <v>1779</v>
      </c>
      <c r="J4" s="11">
        <v>651.21</v>
      </c>
      <c r="K4" s="11">
        <v>524.96</v>
      </c>
      <c r="L4" s="11">
        <v>1158502.5900000001</v>
      </c>
      <c r="M4" s="11">
        <v>933903.84</v>
      </c>
      <c r="N4" s="11">
        <v>224598.75</v>
      </c>
    </row>
    <row r="5" spans="1:14" x14ac:dyDescent="0.3">
      <c r="A5" t="s">
        <v>25</v>
      </c>
      <c r="B5" t="s">
        <v>26</v>
      </c>
      <c r="C5" t="s">
        <v>27</v>
      </c>
      <c r="D5" t="s">
        <v>21</v>
      </c>
      <c r="E5" t="s">
        <v>116</v>
      </c>
      <c r="F5">
        <v>41810</v>
      </c>
      <c r="G5" s="1">
        <v>514321792</v>
      </c>
      <c r="H5" s="10">
        <v>41825</v>
      </c>
      <c r="I5" s="11">
        <v>8102</v>
      </c>
      <c r="J5" s="11">
        <v>9.33</v>
      </c>
      <c r="K5" s="11">
        <v>6.92</v>
      </c>
      <c r="L5" s="11">
        <v>75591.66</v>
      </c>
      <c r="M5" s="11">
        <v>56065.84</v>
      </c>
      <c r="N5" s="11">
        <v>19525.82</v>
      </c>
    </row>
    <row r="6" spans="1:14" x14ac:dyDescent="0.3">
      <c r="A6" t="s">
        <v>25</v>
      </c>
      <c r="B6" t="s">
        <v>28</v>
      </c>
      <c r="C6" t="s">
        <v>24</v>
      </c>
      <c r="D6" t="s">
        <v>17</v>
      </c>
      <c r="E6" t="s">
        <v>117</v>
      </c>
      <c r="F6">
        <v>41306</v>
      </c>
      <c r="G6" s="1">
        <v>115456712</v>
      </c>
      <c r="H6" s="10">
        <v>41311</v>
      </c>
      <c r="I6" s="11">
        <v>5062</v>
      </c>
      <c r="J6" s="11">
        <v>651.21</v>
      </c>
      <c r="K6" s="11">
        <v>524.96</v>
      </c>
      <c r="L6" s="11">
        <v>3296425.02</v>
      </c>
      <c r="M6" s="11">
        <v>2657347.52</v>
      </c>
      <c r="N6" s="11">
        <v>639077.5</v>
      </c>
    </row>
    <row r="7" spans="1:14" x14ac:dyDescent="0.3">
      <c r="A7" t="s">
        <v>14</v>
      </c>
      <c r="B7" t="s">
        <v>29</v>
      </c>
      <c r="C7" t="s">
        <v>16</v>
      </c>
      <c r="D7" t="s">
        <v>21</v>
      </c>
      <c r="E7" t="s">
        <v>116</v>
      </c>
      <c r="F7">
        <v>42039</v>
      </c>
      <c r="G7" s="1">
        <v>547995746</v>
      </c>
      <c r="H7" s="10">
        <v>42056</v>
      </c>
      <c r="I7" s="11">
        <v>2974</v>
      </c>
      <c r="J7" s="11">
        <v>255.28</v>
      </c>
      <c r="K7" s="11">
        <v>159.41999999999999</v>
      </c>
      <c r="L7" s="11">
        <v>759202.72</v>
      </c>
      <c r="M7" s="11">
        <v>474115.08</v>
      </c>
      <c r="N7" s="11">
        <v>285087.64</v>
      </c>
    </row>
    <row r="8" spans="1:14" x14ac:dyDescent="0.3">
      <c r="A8" t="s">
        <v>25</v>
      </c>
      <c r="B8" t="s">
        <v>30</v>
      </c>
      <c r="C8" t="s">
        <v>31</v>
      </c>
      <c r="D8" t="s">
        <v>17</v>
      </c>
      <c r="E8" t="s">
        <v>118</v>
      </c>
      <c r="F8">
        <v>40656</v>
      </c>
      <c r="G8" s="1">
        <v>135425221</v>
      </c>
      <c r="H8" s="10">
        <v>40660</v>
      </c>
      <c r="I8" s="11">
        <v>4187</v>
      </c>
      <c r="J8" s="11">
        <v>668.27</v>
      </c>
      <c r="K8" s="11">
        <v>502.54</v>
      </c>
      <c r="L8" s="11">
        <v>2798046.49</v>
      </c>
      <c r="M8" s="11">
        <v>2104134.98</v>
      </c>
      <c r="N8" s="11">
        <v>693911.51</v>
      </c>
    </row>
    <row r="9" spans="1:14" x14ac:dyDescent="0.3">
      <c r="A9" t="s">
        <v>25</v>
      </c>
      <c r="B9" t="s">
        <v>32</v>
      </c>
      <c r="C9" t="s">
        <v>33</v>
      </c>
      <c r="D9" t="s">
        <v>21</v>
      </c>
      <c r="E9" t="s">
        <v>115</v>
      </c>
      <c r="F9">
        <v>41107</v>
      </c>
      <c r="G9" s="1">
        <v>871543967</v>
      </c>
      <c r="H9" s="10">
        <v>41117</v>
      </c>
      <c r="I9" s="11">
        <v>8082</v>
      </c>
      <c r="J9" s="11">
        <v>154.06</v>
      </c>
      <c r="K9" s="11">
        <v>90.93</v>
      </c>
      <c r="L9" s="11">
        <v>1245112.92</v>
      </c>
      <c r="M9" s="11">
        <v>734896.26</v>
      </c>
      <c r="N9" s="11">
        <v>510216.66</v>
      </c>
    </row>
    <row r="10" spans="1:14" x14ac:dyDescent="0.3">
      <c r="A10" t="s">
        <v>25</v>
      </c>
      <c r="B10" t="s">
        <v>34</v>
      </c>
      <c r="C10" t="s">
        <v>35</v>
      </c>
      <c r="D10" t="s">
        <v>17</v>
      </c>
      <c r="E10" t="s">
        <v>118</v>
      </c>
      <c r="F10">
        <v>42199</v>
      </c>
      <c r="G10" s="1">
        <v>770463311</v>
      </c>
      <c r="H10" s="10">
        <v>42241</v>
      </c>
      <c r="I10" s="11">
        <v>6070</v>
      </c>
      <c r="J10" s="11">
        <v>81.73</v>
      </c>
      <c r="K10" s="11">
        <v>56.67</v>
      </c>
      <c r="L10" s="11">
        <v>496101.1</v>
      </c>
      <c r="M10" s="11">
        <v>343986.9</v>
      </c>
      <c r="N10" s="11">
        <v>152114.20000000001</v>
      </c>
    </row>
    <row r="11" spans="1:14" x14ac:dyDescent="0.3">
      <c r="A11" t="s">
        <v>25</v>
      </c>
      <c r="B11" t="s">
        <v>36</v>
      </c>
      <c r="C11" t="s">
        <v>20</v>
      </c>
      <c r="D11" t="s">
        <v>21</v>
      </c>
      <c r="E11" t="s">
        <v>115</v>
      </c>
      <c r="F11">
        <v>41747</v>
      </c>
      <c r="G11" s="1">
        <v>616607081</v>
      </c>
      <c r="H11" s="10">
        <v>41789</v>
      </c>
      <c r="I11" s="11">
        <v>6593</v>
      </c>
      <c r="J11" s="11">
        <v>205.7</v>
      </c>
      <c r="K11" s="11">
        <v>117.11</v>
      </c>
      <c r="L11" s="11">
        <v>1356180.1</v>
      </c>
      <c r="M11" s="11">
        <v>772106.23</v>
      </c>
      <c r="N11" s="11">
        <v>584073.87</v>
      </c>
    </row>
    <row r="12" spans="1:14" x14ac:dyDescent="0.3">
      <c r="A12" t="s">
        <v>37</v>
      </c>
      <c r="B12" t="s">
        <v>38</v>
      </c>
      <c r="C12" t="s">
        <v>33</v>
      </c>
      <c r="D12" t="s">
        <v>21</v>
      </c>
      <c r="E12" t="s">
        <v>115</v>
      </c>
      <c r="F12">
        <v>40718</v>
      </c>
      <c r="G12" s="1">
        <v>814711606</v>
      </c>
      <c r="H12" s="10">
        <v>40736</v>
      </c>
      <c r="I12" s="11">
        <v>124</v>
      </c>
      <c r="J12" s="11">
        <v>154.06</v>
      </c>
      <c r="K12" s="11">
        <v>90.93</v>
      </c>
      <c r="L12" s="11">
        <v>19103.439999999999</v>
      </c>
      <c r="M12" s="11">
        <v>11275.32</v>
      </c>
      <c r="N12" s="11">
        <v>7828.12</v>
      </c>
    </row>
    <row r="13" spans="1:14" x14ac:dyDescent="0.3">
      <c r="A13" t="s">
        <v>25</v>
      </c>
      <c r="B13" t="s">
        <v>39</v>
      </c>
      <c r="C13" t="s">
        <v>40</v>
      </c>
      <c r="D13" t="s">
        <v>17</v>
      </c>
      <c r="E13" t="s">
        <v>115</v>
      </c>
      <c r="F13">
        <v>41853</v>
      </c>
      <c r="G13" s="1">
        <v>939825713</v>
      </c>
      <c r="H13" s="10">
        <v>41870</v>
      </c>
      <c r="I13" s="11">
        <v>4168</v>
      </c>
      <c r="J13" s="11">
        <v>109.28</v>
      </c>
      <c r="K13" s="11">
        <v>35.840000000000003</v>
      </c>
      <c r="L13" s="11">
        <v>455479.03999999998</v>
      </c>
      <c r="M13" s="11">
        <v>149381.12</v>
      </c>
      <c r="N13" s="11">
        <v>306097.91999999998</v>
      </c>
    </row>
    <row r="14" spans="1:14" x14ac:dyDescent="0.3">
      <c r="A14" t="s">
        <v>37</v>
      </c>
      <c r="B14" t="s">
        <v>41</v>
      </c>
      <c r="C14" t="s">
        <v>40</v>
      </c>
      <c r="D14" t="s">
        <v>21</v>
      </c>
      <c r="E14" t="s">
        <v>117</v>
      </c>
      <c r="F14">
        <v>42748</v>
      </c>
      <c r="G14" s="1">
        <v>187310731</v>
      </c>
      <c r="H14" s="10">
        <v>42795</v>
      </c>
      <c r="I14" s="11">
        <v>8263</v>
      </c>
      <c r="J14" s="11">
        <v>109.28</v>
      </c>
      <c r="K14" s="11">
        <v>35.840000000000003</v>
      </c>
      <c r="L14" s="11">
        <v>902980.64</v>
      </c>
      <c r="M14" s="11">
        <v>296145.91999999998</v>
      </c>
      <c r="N14" s="11">
        <v>606834.72</v>
      </c>
    </row>
    <row r="15" spans="1:14" x14ac:dyDescent="0.3">
      <c r="A15" t="s">
        <v>18</v>
      </c>
      <c r="B15" t="s">
        <v>42</v>
      </c>
      <c r="C15" t="s">
        <v>31</v>
      </c>
      <c r="D15" t="s">
        <v>17</v>
      </c>
      <c r="E15" t="s">
        <v>115</v>
      </c>
      <c r="F15">
        <v>42774</v>
      </c>
      <c r="G15" s="1">
        <v>522840487</v>
      </c>
      <c r="H15" s="10">
        <v>42779</v>
      </c>
      <c r="I15" s="11">
        <v>8974</v>
      </c>
      <c r="J15" s="11">
        <v>668.27</v>
      </c>
      <c r="K15" s="11">
        <v>502.54</v>
      </c>
      <c r="L15" s="11">
        <v>5997054.9800000004</v>
      </c>
      <c r="M15" s="11">
        <v>4509793.96</v>
      </c>
      <c r="N15" s="11">
        <v>1487261.02</v>
      </c>
    </row>
    <row r="16" spans="1:14" x14ac:dyDescent="0.3">
      <c r="A16" t="s">
        <v>37</v>
      </c>
      <c r="B16" t="s">
        <v>43</v>
      </c>
      <c r="C16" t="s">
        <v>35</v>
      </c>
      <c r="D16" t="s">
        <v>17</v>
      </c>
      <c r="E16" t="s">
        <v>116</v>
      </c>
      <c r="F16">
        <v>41689</v>
      </c>
      <c r="G16" s="1">
        <v>832401311</v>
      </c>
      <c r="H16" s="10">
        <v>41693</v>
      </c>
      <c r="I16" s="11">
        <v>4901</v>
      </c>
      <c r="J16" s="11">
        <v>81.73</v>
      </c>
      <c r="K16" s="11">
        <v>56.67</v>
      </c>
      <c r="L16" s="11">
        <v>400558.73</v>
      </c>
      <c r="M16" s="11">
        <v>277739.67</v>
      </c>
      <c r="N16" s="11">
        <v>122819.06</v>
      </c>
    </row>
    <row r="17" spans="1:14" x14ac:dyDescent="0.3">
      <c r="A17" t="s">
        <v>22</v>
      </c>
      <c r="B17" t="s">
        <v>44</v>
      </c>
      <c r="C17" t="s">
        <v>40</v>
      </c>
      <c r="D17" t="s">
        <v>21</v>
      </c>
      <c r="E17" t="s">
        <v>118</v>
      </c>
      <c r="F17">
        <v>41022</v>
      </c>
      <c r="G17" s="1">
        <v>972292029</v>
      </c>
      <c r="H17" s="10">
        <v>41063</v>
      </c>
      <c r="I17" s="11">
        <v>1673</v>
      </c>
      <c r="J17" s="11">
        <v>109.28</v>
      </c>
      <c r="K17" s="11">
        <v>35.840000000000003</v>
      </c>
      <c r="L17" s="11">
        <v>182825.44</v>
      </c>
      <c r="M17" s="11">
        <v>59960.32</v>
      </c>
      <c r="N17" s="11">
        <v>122865.12</v>
      </c>
    </row>
    <row r="18" spans="1:14" x14ac:dyDescent="0.3">
      <c r="A18" t="s">
        <v>37</v>
      </c>
      <c r="B18" t="s">
        <v>45</v>
      </c>
      <c r="C18" t="s">
        <v>46</v>
      </c>
      <c r="D18" t="s">
        <v>17</v>
      </c>
      <c r="E18" t="s">
        <v>118</v>
      </c>
      <c r="F18">
        <v>42693</v>
      </c>
      <c r="G18" s="1">
        <v>419123971</v>
      </c>
      <c r="H18" s="10">
        <v>42722</v>
      </c>
      <c r="I18" s="11">
        <v>6952</v>
      </c>
      <c r="J18" s="11">
        <v>437.2</v>
      </c>
      <c r="K18" s="11">
        <v>263.33</v>
      </c>
      <c r="L18" s="11">
        <v>3039414.4</v>
      </c>
      <c r="M18" s="11">
        <v>1830670.16</v>
      </c>
      <c r="N18" s="11">
        <v>1208744.24</v>
      </c>
    </row>
    <row r="19" spans="1:14" x14ac:dyDescent="0.3">
      <c r="A19" t="s">
        <v>25</v>
      </c>
      <c r="B19" t="s">
        <v>47</v>
      </c>
      <c r="C19" t="s">
        <v>48</v>
      </c>
      <c r="D19" t="s">
        <v>17</v>
      </c>
      <c r="E19" t="s">
        <v>116</v>
      </c>
      <c r="F19">
        <v>42095</v>
      </c>
      <c r="G19" s="1">
        <v>519820964</v>
      </c>
      <c r="H19" s="10">
        <v>42112</v>
      </c>
      <c r="I19" s="11">
        <v>5430</v>
      </c>
      <c r="J19" s="11">
        <v>47.45</v>
      </c>
      <c r="K19" s="11">
        <v>31.79</v>
      </c>
      <c r="L19" s="11">
        <v>257653.5</v>
      </c>
      <c r="M19" s="11">
        <v>172619.7</v>
      </c>
      <c r="N19" s="11">
        <v>85033.8</v>
      </c>
    </row>
    <row r="20" spans="1:14" x14ac:dyDescent="0.3">
      <c r="A20" t="s">
        <v>37</v>
      </c>
      <c r="B20" t="s">
        <v>49</v>
      </c>
      <c r="C20" t="s">
        <v>31</v>
      </c>
      <c r="D20" t="s">
        <v>17</v>
      </c>
      <c r="E20" t="s">
        <v>117</v>
      </c>
      <c r="F20">
        <v>40542</v>
      </c>
      <c r="G20" s="1">
        <v>441619336</v>
      </c>
      <c r="H20" s="10">
        <v>40563</v>
      </c>
      <c r="I20" s="11">
        <v>3830</v>
      </c>
      <c r="J20" s="11">
        <v>668.27</v>
      </c>
      <c r="K20" s="11">
        <v>502.54</v>
      </c>
      <c r="L20" s="11">
        <v>2559474.1</v>
      </c>
      <c r="M20" s="11">
        <v>1924728.2</v>
      </c>
      <c r="N20" s="11">
        <v>634745.9</v>
      </c>
    </row>
    <row r="21" spans="1:14" x14ac:dyDescent="0.3">
      <c r="A21" t="s">
        <v>14</v>
      </c>
      <c r="B21" t="s">
        <v>50</v>
      </c>
      <c r="C21" t="s">
        <v>51</v>
      </c>
      <c r="D21" t="s">
        <v>21</v>
      </c>
      <c r="E21" t="s">
        <v>117</v>
      </c>
      <c r="F21">
        <v>41121</v>
      </c>
      <c r="G21" s="1">
        <v>322067916</v>
      </c>
      <c r="H21" s="10">
        <v>41163</v>
      </c>
      <c r="I21" s="11">
        <v>5908</v>
      </c>
      <c r="J21" s="11">
        <v>421.89</v>
      </c>
      <c r="K21" s="11">
        <v>364.69</v>
      </c>
      <c r="L21" s="11">
        <v>2492526.12</v>
      </c>
      <c r="M21" s="11">
        <v>2154588.52</v>
      </c>
      <c r="N21" s="11">
        <v>337937.6</v>
      </c>
    </row>
    <row r="22" spans="1:14" x14ac:dyDescent="0.3">
      <c r="A22" t="s">
        <v>22</v>
      </c>
      <c r="B22" t="s">
        <v>52</v>
      </c>
      <c r="C22" t="s">
        <v>16</v>
      </c>
      <c r="D22" t="s">
        <v>21</v>
      </c>
      <c r="E22" t="s">
        <v>117</v>
      </c>
      <c r="F22">
        <v>41773</v>
      </c>
      <c r="G22" s="1">
        <v>819028031</v>
      </c>
      <c r="H22" s="10">
        <v>41818</v>
      </c>
      <c r="I22" s="11">
        <v>7450</v>
      </c>
      <c r="J22" s="11">
        <v>255.28</v>
      </c>
      <c r="K22" s="11">
        <v>159.41999999999999</v>
      </c>
      <c r="L22" s="11">
        <v>1901836</v>
      </c>
      <c r="M22" s="11">
        <v>1187679</v>
      </c>
      <c r="N22" s="11">
        <v>714157</v>
      </c>
    </row>
    <row r="23" spans="1:14" x14ac:dyDescent="0.3">
      <c r="A23" t="s">
        <v>22</v>
      </c>
      <c r="B23" t="s">
        <v>53</v>
      </c>
      <c r="C23" t="s">
        <v>16</v>
      </c>
      <c r="D23" t="s">
        <v>21</v>
      </c>
      <c r="E23" t="s">
        <v>115</v>
      </c>
      <c r="F23">
        <v>42216</v>
      </c>
      <c r="G23" s="1">
        <v>860673511</v>
      </c>
      <c r="H23" s="10">
        <v>42250</v>
      </c>
      <c r="I23" s="11">
        <v>1273</v>
      </c>
      <c r="J23" s="11">
        <v>255.28</v>
      </c>
      <c r="K23" s="11">
        <v>159.41999999999999</v>
      </c>
      <c r="L23" s="11">
        <v>324971.44</v>
      </c>
      <c r="M23" s="11">
        <v>202941.66</v>
      </c>
      <c r="N23" s="11">
        <v>122029.78</v>
      </c>
    </row>
    <row r="24" spans="1:14" x14ac:dyDescent="0.3">
      <c r="A24" t="s">
        <v>18</v>
      </c>
      <c r="B24" t="s">
        <v>42</v>
      </c>
      <c r="C24" t="s">
        <v>54</v>
      </c>
      <c r="D24" t="s">
        <v>21</v>
      </c>
      <c r="E24" t="s">
        <v>117</v>
      </c>
      <c r="F24">
        <v>42551</v>
      </c>
      <c r="G24" s="1">
        <v>795490682</v>
      </c>
      <c r="H24" s="10">
        <v>42577</v>
      </c>
      <c r="I24" s="11">
        <v>2225</v>
      </c>
      <c r="J24" s="11">
        <v>152.58000000000001</v>
      </c>
      <c r="K24" s="11">
        <v>97.44</v>
      </c>
      <c r="L24" s="11">
        <v>339490.5</v>
      </c>
      <c r="M24" s="11">
        <v>216804</v>
      </c>
      <c r="N24" s="11">
        <v>122686.5</v>
      </c>
    </row>
    <row r="25" spans="1:14" x14ac:dyDescent="0.3">
      <c r="A25" t="s">
        <v>14</v>
      </c>
      <c r="B25" t="s">
        <v>55</v>
      </c>
      <c r="C25" t="s">
        <v>27</v>
      </c>
      <c r="D25" t="s">
        <v>21</v>
      </c>
      <c r="E25" t="s">
        <v>115</v>
      </c>
      <c r="F25">
        <v>41890</v>
      </c>
      <c r="G25" s="1">
        <v>142278373</v>
      </c>
      <c r="H25" s="10">
        <v>41916</v>
      </c>
      <c r="I25" s="11">
        <v>2187</v>
      </c>
      <c r="J25" s="11">
        <v>9.33</v>
      </c>
      <c r="K25" s="11">
        <v>6.92</v>
      </c>
      <c r="L25" s="11">
        <v>20404.71</v>
      </c>
      <c r="M25" s="11">
        <v>15134.04</v>
      </c>
      <c r="N25" s="11">
        <v>5270.67</v>
      </c>
    </row>
    <row r="26" spans="1:14" x14ac:dyDescent="0.3">
      <c r="A26" t="s">
        <v>22</v>
      </c>
      <c r="B26" t="s">
        <v>56</v>
      </c>
      <c r="C26" t="s">
        <v>35</v>
      </c>
      <c r="D26" t="s">
        <v>21</v>
      </c>
      <c r="E26" t="s">
        <v>117</v>
      </c>
      <c r="F26">
        <v>42497</v>
      </c>
      <c r="G26" s="1">
        <v>740147912</v>
      </c>
      <c r="H26" s="10">
        <v>42500</v>
      </c>
      <c r="I26" s="11">
        <v>5070</v>
      </c>
      <c r="J26" s="11">
        <v>81.73</v>
      </c>
      <c r="K26" s="11">
        <v>56.67</v>
      </c>
      <c r="L26" s="11">
        <v>414371.1</v>
      </c>
      <c r="M26" s="11">
        <v>287316.90000000002</v>
      </c>
      <c r="N26" s="11">
        <v>127054.2</v>
      </c>
    </row>
    <row r="27" spans="1:14" x14ac:dyDescent="0.3">
      <c r="A27" t="s">
        <v>22</v>
      </c>
      <c r="B27" t="s">
        <v>57</v>
      </c>
      <c r="C27" t="s">
        <v>46</v>
      </c>
      <c r="D27" t="s">
        <v>21</v>
      </c>
      <c r="E27" t="s">
        <v>115</v>
      </c>
      <c r="F27">
        <v>42877</v>
      </c>
      <c r="G27" s="1">
        <v>898523128</v>
      </c>
      <c r="H27" s="10">
        <v>42891</v>
      </c>
      <c r="I27" s="11">
        <v>1815</v>
      </c>
      <c r="J27" s="11">
        <v>437.2</v>
      </c>
      <c r="K27" s="11">
        <v>263.33</v>
      </c>
      <c r="L27" s="11">
        <v>793518</v>
      </c>
      <c r="M27" s="11">
        <v>477943.95</v>
      </c>
      <c r="N27" s="11">
        <v>315574.05</v>
      </c>
    </row>
    <row r="28" spans="1:14" x14ac:dyDescent="0.3">
      <c r="A28" t="s">
        <v>14</v>
      </c>
      <c r="B28" t="s">
        <v>58</v>
      </c>
      <c r="C28" t="s">
        <v>27</v>
      </c>
      <c r="D28" t="s">
        <v>21</v>
      </c>
      <c r="E28" t="s">
        <v>118</v>
      </c>
      <c r="F28">
        <v>41925</v>
      </c>
      <c r="G28" s="1">
        <v>347140347</v>
      </c>
      <c r="H28" s="10">
        <v>41953</v>
      </c>
      <c r="I28" s="11">
        <v>5398</v>
      </c>
      <c r="J28" s="11">
        <v>9.33</v>
      </c>
      <c r="K28" s="11">
        <v>6.92</v>
      </c>
      <c r="L28" s="11">
        <v>50363.34</v>
      </c>
      <c r="M28" s="11">
        <v>37354.160000000003</v>
      </c>
      <c r="N28" s="11">
        <v>13009.18</v>
      </c>
    </row>
    <row r="29" spans="1:14" x14ac:dyDescent="0.3">
      <c r="A29" t="s">
        <v>25</v>
      </c>
      <c r="B29" t="s">
        <v>59</v>
      </c>
      <c r="C29" t="s">
        <v>27</v>
      </c>
      <c r="D29" t="s">
        <v>21</v>
      </c>
      <c r="E29" t="s">
        <v>117</v>
      </c>
      <c r="F29">
        <v>40305</v>
      </c>
      <c r="G29" s="1">
        <v>686048400</v>
      </c>
      <c r="H29" s="10">
        <v>40308</v>
      </c>
      <c r="I29" s="11">
        <v>5822</v>
      </c>
      <c r="J29" s="11">
        <v>9.33</v>
      </c>
      <c r="K29" s="11">
        <v>6.92</v>
      </c>
      <c r="L29" s="11">
        <v>54319.26</v>
      </c>
      <c r="M29" s="11">
        <v>40288.239999999998</v>
      </c>
      <c r="N29" s="11">
        <v>14031.02</v>
      </c>
    </row>
    <row r="30" spans="1:14" x14ac:dyDescent="0.3">
      <c r="A30" t="s">
        <v>22</v>
      </c>
      <c r="B30" t="s">
        <v>52</v>
      </c>
      <c r="C30" t="s">
        <v>48</v>
      </c>
      <c r="D30" t="s">
        <v>17</v>
      </c>
      <c r="E30" t="s">
        <v>116</v>
      </c>
      <c r="F30">
        <v>41838</v>
      </c>
      <c r="G30" s="1">
        <v>435608613</v>
      </c>
      <c r="H30" s="10">
        <v>41850</v>
      </c>
      <c r="I30" s="11">
        <v>5124</v>
      </c>
      <c r="J30" s="11">
        <v>47.45</v>
      </c>
      <c r="K30" s="11">
        <v>31.79</v>
      </c>
      <c r="L30" s="11">
        <v>243133.8</v>
      </c>
      <c r="M30" s="11">
        <v>162891.96</v>
      </c>
      <c r="N30" s="11">
        <v>80241.84</v>
      </c>
    </row>
    <row r="31" spans="1:14" x14ac:dyDescent="0.3">
      <c r="A31" t="s">
        <v>25</v>
      </c>
      <c r="B31" t="s">
        <v>60</v>
      </c>
      <c r="C31" t="s">
        <v>31</v>
      </c>
      <c r="D31" t="s">
        <v>17</v>
      </c>
      <c r="E31" t="s">
        <v>117</v>
      </c>
      <c r="F31">
        <v>41055</v>
      </c>
      <c r="G31" s="1">
        <v>886494815</v>
      </c>
      <c r="H31" s="10">
        <v>41069</v>
      </c>
      <c r="I31" s="11">
        <v>2370</v>
      </c>
      <c r="J31" s="11">
        <v>668.27</v>
      </c>
      <c r="K31" s="11">
        <v>502.54</v>
      </c>
      <c r="L31" s="11">
        <v>1583799.9</v>
      </c>
      <c r="M31" s="11">
        <v>1191019.8</v>
      </c>
      <c r="N31" s="11">
        <v>392780.1</v>
      </c>
    </row>
    <row r="32" spans="1:14" x14ac:dyDescent="0.3">
      <c r="A32" t="s">
        <v>22</v>
      </c>
      <c r="B32" t="s">
        <v>61</v>
      </c>
      <c r="C32" t="s">
        <v>46</v>
      </c>
      <c r="D32" t="s">
        <v>17</v>
      </c>
      <c r="E32" t="s">
        <v>118</v>
      </c>
      <c r="F32">
        <v>41169</v>
      </c>
      <c r="G32" s="1">
        <v>249693334</v>
      </c>
      <c r="H32" s="10">
        <v>41202</v>
      </c>
      <c r="I32" s="11">
        <v>8661</v>
      </c>
      <c r="J32" s="11">
        <v>437.2</v>
      </c>
      <c r="K32" s="11">
        <v>263.33</v>
      </c>
      <c r="L32" s="11">
        <v>3786589.2</v>
      </c>
      <c r="M32" s="11">
        <v>2280701.13</v>
      </c>
      <c r="N32" s="11">
        <v>1505888.07</v>
      </c>
    </row>
    <row r="33" spans="1:14" x14ac:dyDescent="0.3">
      <c r="A33" t="s">
        <v>25</v>
      </c>
      <c r="B33" t="s">
        <v>62</v>
      </c>
      <c r="C33" t="s">
        <v>35</v>
      </c>
      <c r="D33" t="s">
        <v>17</v>
      </c>
      <c r="E33" t="s">
        <v>116</v>
      </c>
      <c r="F33">
        <v>41637</v>
      </c>
      <c r="G33" s="1">
        <v>406502997</v>
      </c>
      <c r="H33" s="10">
        <v>41667</v>
      </c>
      <c r="I33" s="11">
        <v>2125</v>
      </c>
      <c r="J33" s="11">
        <v>81.73</v>
      </c>
      <c r="K33" s="11">
        <v>56.67</v>
      </c>
      <c r="L33" s="11">
        <v>173676.25</v>
      </c>
      <c r="M33" s="11">
        <v>120423.75</v>
      </c>
      <c r="N33" s="11">
        <v>53252.5</v>
      </c>
    </row>
    <row r="34" spans="1:14" x14ac:dyDescent="0.3">
      <c r="A34" t="s">
        <v>14</v>
      </c>
      <c r="B34" t="s">
        <v>63</v>
      </c>
      <c r="C34" t="s">
        <v>24</v>
      </c>
      <c r="D34" t="s">
        <v>21</v>
      </c>
      <c r="E34" t="s">
        <v>116</v>
      </c>
      <c r="F34">
        <v>42304</v>
      </c>
      <c r="G34" s="1">
        <v>158535134</v>
      </c>
      <c r="H34" s="10">
        <v>42333</v>
      </c>
      <c r="I34" s="11">
        <v>2924</v>
      </c>
      <c r="J34" s="11">
        <v>651.21</v>
      </c>
      <c r="K34" s="11">
        <v>524.96</v>
      </c>
      <c r="L34" s="11">
        <v>1904138.04</v>
      </c>
      <c r="M34" s="11">
        <v>1534983.04</v>
      </c>
      <c r="N34" s="11">
        <v>369155</v>
      </c>
    </row>
    <row r="35" spans="1:14" x14ac:dyDescent="0.3">
      <c r="A35" t="s">
        <v>37</v>
      </c>
      <c r="B35" t="s">
        <v>64</v>
      </c>
      <c r="C35" t="s">
        <v>31</v>
      </c>
      <c r="D35" t="s">
        <v>17</v>
      </c>
      <c r="E35" t="s">
        <v>115</v>
      </c>
      <c r="F35">
        <v>42020</v>
      </c>
      <c r="G35" s="1">
        <v>177713572</v>
      </c>
      <c r="H35" s="10">
        <v>42064</v>
      </c>
      <c r="I35" s="11">
        <v>8250</v>
      </c>
      <c r="J35" s="11">
        <v>668.27</v>
      </c>
      <c r="K35" s="11">
        <v>502.54</v>
      </c>
      <c r="L35" s="11">
        <v>5513227.5</v>
      </c>
      <c r="M35" s="11">
        <v>4145955</v>
      </c>
      <c r="N35" s="11">
        <v>1367272.5</v>
      </c>
    </row>
    <row r="36" spans="1:14" x14ac:dyDescent="0.3">
      <c r="A36" t="s">
        <v>25</v>
      </c>
      <c r="B36" t="s">
        <v>65</v>
      </c>
      <c r="C36" t="s">
        <v>54</v>
      </c>
      <c r="D36" t="s">
        <v>21</v>
      </c>
      <c r="E36" t="s">
        <v>118</v>
      </c>
      <c r="F36">
        <v>42791</v>
      </c>
      <c r="G36" s="1">
        <v>756274640</v>
      </c>
      <c r="H36" s="10">
        <v>42791</v>
      </c>
      <c r="I36" s="11">
        <v>7327</v>
      </c>
      <c r="J36" s="11">
        <v>152.58000000000001</v>
      </c>
      <c r="K36" s="11">
        <v>97.44</v>
      </c>
      <c r="L36" s="11">
        <v>1117953.6599999999</v>
      </c>
      <c r="M36" s="11">
        <v>713942.88</v>
      </c>
      <c r="N36" s="11">
        <v>404010.78</v>
      </c>
    </row>
    <row r="37" spans="1:14" x14ac:dyDescent="0.3">
      <c r="A37" t="s">
        <v>18</v>
      </c>
      <c r="B37" t="s">
        <v>66</v>
      </c>
      <c r="C37" t="s">
        <v>35</v>
      </c>
      <c r="D37" t="s">
        <v>17</v>
      </c>
      <c r="E37" t="s">
        <v>117</v>
      </c>
      <c r="F37">
        <v>42863</v>
      </c>
      <c r="G37" s="1">
        <v>456767165</v>
      </c>
      <c r="H37" s="10">
        <v>42876</v>
      </c>
      <c r="I37" s="11">
        <v>6409</v>
      </c>
      <c r="J37" s="11">
        <v>81.73</v>
      </c>
      <c r="K37" s="11">
        <v>56.67</v>
      </c>
      <c r="L37" s="11">
        <v>523807.57</v>
      </c>
      <c r="M37" s="11">
        <v>363198.03</v>
      </c>
      <c r="N37" s="11">
        <v>160609.54</v>
      </c>
    </row>
    <row r="38" spans="1:14" x14ac:dyDescent="0.3">
      <c r="A38" t="s">
        <v>67</v>
      </c>
      <c r="B38" t="s">
        <v>68</v>
      </c>
      <c r="C38" t="s">
        <v>27</v>
      </c>
      <c r="D38" t="s">
        <v>21</v>
      </c>
      <c r="E38" t="s">
        <v>117</v>
      </c>
      <c r="F38">
        <v>40869</v>
      </c>
      <c r="G38" s="1">
        <v>162052476</v>
      </c>
      <c r="H38" s="10">
        <v>40880</v>
      </c>
      <c r="I38" s="11">
        <v>3784</v>
      </c>
      <c r="J38" s="11">
        <v>9.33</v>
      </c>
      <c r="K38" s="11">
        <v>6.92</v>
      </c>
      <c r="L38" s="11">
        <v>35304.720000000001</v>
      </c>
      <c r="M38" s="11">
        <v>26185.279999999999</v>
      </c>
      <c r="N38" s="11">
        <v>9119.44</v>
      </c>
    </row>
    <row r="39" spans="1:14" x14ac:dyDescent="0.3">
      <c r="A39" t="s">
        <v>25</v>
      </c>
      <c r="B39" t="s">
        <v>60</v>
      </c>
      <c r="C39" t="s">
        <v>51</v>
      </c>
      <c r="D39" t="s">
        <v>21</v>
      </c>
      <c r="E39" t="s">
        <v>118</v>
      </c>
      <c r="F39">
        <v>42749</v>
      </c>
      <c r="G39" s="1">
        <v>825304400</v>
      </c>
      <c r="H39" s="10">
        <v>42758</v>
      </c>
      <c r="I39" s="11">
        <v>4767</v>
      </c>
      <c r="J39" s="11">
        <v>421.89</v>
      </c>
      <c r="K39" s="11">
        <v>364.69</v>
      </c>
      <c r="L39" s="11">
        <v>2011149.63</v>
      </c>
      <c r="M39" s="11">
        <v>1738477.23</v>
      </c>
      <c r="N39" s="11">
        <v>272672.40000000002</v>
      </c>
    </row>
    <row r="40" spans="1:14" x14ac:dyDescent="0.3">
      <c r="A40" t="s">
        <v>37</v>
      </c>
      <c r="B40" t="s">
        <v>69</v>
      </c>
      <c r="C40" t="s">
        <v>24</v>
      </c>
      <c r="D40" t="s">
        <v>21</v>
      </c>
      <c r="E40" t="s">
        <v>117</v>
      </c>
      <c r="F40">
        <v>41000</v>
      </c>
      <c r="G40" s="1">
        <v>320009267</v>
      </c>
      <c r="H40" s="10">
        <v>41037</v>
      </c>
      <c r="I40" s="11">
        <v>6708</v>
      </c>
      <c r="J40" s="11">
        <v>651.21</v>
      </c>
      <c r="K40" s="11">
        <v>524.96</v>
      </c>
      <c r="L40" s="11">
        <v>4368316.68</v>
      </c>
      <c r="M40" s="11">
        <v>3521431.68</v>
      </c>
      <c r="N40" s="11">
        <v>846885</v>
      </c>
    </row>
    <row r="41" spans="1:14" x14ac:dyDescent="0.3">
      <c r="A41" t="s">
        <v>22</v>
      </c>
      <c r="B41" t="s">
        <v>44</v>
      </c>
      <c r="C41" t="s">
        <v>24</v>
      </c>
      <c r="D41" t="s">
        <v>21</v>
      </c>
      <c r="E41" t="s">
        <v>118</v>
      </c>
      <c r="F41">
        <v>40955</v>
      </c>
      <c r="G41" s="1">
        <v>189965903</v>
      </c>
      <c r="H41" s="10">
        <v>40967</v>
      </c>
      <c r="I41" s="11">
        <v>3987</v>
      </c>
      <c r="J41" s="11">
        <v>651.21</v>
      </c>
      <c r="K41" s="11">
        <v>524.96</v>
      </c>
      <c r="L41" s="11">
        <v>2596374.27</v>
      </c>
      <c r="M41" s="11">
        <v>2093015.52</v>
      </c>
      <c r="N41" s="11">
        <v>503358.75</v>
      </c>
    </row>
    <row r="42" spans="1:14" x14ac:dyDescent="0.3">
      <c r="A42" t="s">
        <v>25</v>
      </c>
      <c r="B42" t="s">
        <v>70</v>
      </c>
      <c r="C42" t="s">
        <v>35</v>
      </c>
      <c r="D42" t="s">
        <v>21</v>
      </c>
      <c r="E42" t="s">
        <v>115</v>
      </c>
      <c r="F42">
        <v>42805</v>
      </c>
      <c r="G42" s="1">
        <v>699285638</v>
      </c>
      <c r="H42" s="10">
        <v>42822</v>
      </c>
      <c r="I42" s="11">
        <v>3015</v>
      </c>
      <c r="J42" s="11">
        <v>81.73</v>
      </c>
      <c r="K42" s="11">
        <v>56.67</v>
      </c>
      <c r="L42" s="11">
        <v>246415.95</v>
      </c>
      <c r="M42" s="11">
        <v>170860.05</v>
      </c>
      <c r="N42" s="11">
        <v>75555.899999999994</v>
      </c>
    </row>
    <row r="43" spans="1:14" x14ac:dyDescent="0.3">
      <c r="A43" t="s">
        <v>67</v>
      </c>
      <c r="B43" t="s">
        <v>71</v>
      </c>
      <c r="C43" t="s">
        <v>46</v>
      </c>
      <c r="D43" t="s">
        <v>21</v>
      </c>
      <c r="E43" t="s">
        <v>118</v>
      </c>
      <c r="F43">
        <v>40215</v>
      </c>
      <c r="G43" s="1">
        <v>382392299</v>
      </c>
      <c r="H43" s="10">
        <v>40234</v>
      </c>
      <c r="I43" s="11">
        <v>7234</v>
      </c>
      <c r="J43" s="11">
        <v>437.2</v>
      </c>
      <c r="K43" s="11">
        <v>263.33</v>
      </c>
      <c r="L43" s="11">
        <v>3162704.8</v>
      </c>
      <c r="M43" s="11">
        <v>1904929.22</v>
      </c>
      <c r="N43" s="11">
        <v>1257775.58</v>
      </c>
    </row>
    <row r="44" spans="1:14" x14ac:dyDescent="0.3">
      <c r="A44" t="s">
        <v>25</v>
      </c>
      <c r="B44" t="s">
        <v>60</v>
      </c>
      <c r="C44" t="s">
        <v>20</v>
      </c>
      <c r="D44" t="s">
        <v>17</v>
      </c>
      <c r="E44" t="s">
        <v>115</v>
      </c>
      <c r="F44">
        <v>41067</v>
      </c>
      <c r="G44" s="1">
        <v>994022214</v>
      </c>
      <c r="H44" s="10">
        <v>41068</v>
      </c>
      <c r="I44" s="11">
        <v>2117</v>
      </c>
      <c r="J44" s="11">
        <v>205.7</v>
      </c>
      <c r="K44" s="11">
        <v>117.11</v>
      </c>
      <c r="L44" s="11">
        <v>435466.9</v>
      </c>
      <c r="M44" s="11">
        <v>247921.87</v>
      </c>
      <c r="N44" s="11">
        <v>187545.03</v>
      </c>
    </row>
    <row r="45" spans="1:14" x14ac:dyDescent="0.3">
      <c r="A45" t="s">
        <v>22</v>
      </c>
      <c r="B45" t="s">
        <v>72</v>
      </c>
      <c r="C45" t="s">
        <v>33</v>
      </c>
      <c r="D45" t="s">
        <v>21</v>
      </c>
      <c r="E45" t="s">
        <v>115</v>
      </c>
      <c r="F45">
        <v>41188</v>
      </c>
      <c r="G45" s="1">
        <v>759224212</v>
      </c>
      <c r="H45" s="10">
        <v>41223</v>
      </c>
      <c r="I45" s="11">
        <v>171</v>
      </c>
      <c r="J45" s="11">
        <v>154.06</v>
      </c>
      <c r="K45" s="11">
        <v>90.93</v>
      </c>
      <c r="L45" s="11">
        <v>26344.26</v>
      </c>
      <c r="M45" s="11">
        <v>15549.03</v>
      </c>
      <c r="N45" s="11">
        <v>10795.23</v>
      </c>
    </row>
    <row r="46" spans="1:14" x14ac:dyDescent="0.3">
      <c r="A46" t="s">
        <v>37</v>
      </c>
      <c r="B46" t="s">
        <v>64</v>
      </c>
      <c r="C46" t="s">
        <v>40</v>
      </c>
      <c r="D46" t="s">
        <v>21</v>
      </c>
      <c r="E46" t="s">
        <v>115</v>
      </c>
      <c r="F46">
        <v>42322</v>
      </c>
      <c r="G46" s="1">
        <v>223359620</v>
      </c>
      <c r="H46" s="10">
        <v>42326</v>
      </c>
      <c r="I46" s="11">
        <v>5930</v>
      </c>
      <c r="J46" s="11">
        <v>109.28</v>
      </c>
      <c r="K46" s="11">
        <v>35.840000000000003</v>
      </c>
      <c r="L46" s="11">
        <v>648030.4</v>
      </c>
      <c r="M46" s="11">
        <v>212531.20000000001</v>
      </c>
      <c r="N46" s="11">
        <v>435499.2</v>
      </c>
    </row>
    <row r="47" spans="1:14" x14ac:dyDescent="0.3">
      <c r="A47" t="s">
        <v>25</v>
      </c>
      <c r="B47" t="s">
        <v>73</v>
      </c>
      <c r="C47" t="s">
        <v>20</v>
      </c>
      <c r="D47" t="s">
        <v>17</v>
      </c>
      <c r="E47" t="s">
        <v>115</v>
      </c>
      <c r="F47">
        <v>42458</v>
      </c>
      <c r="G47" s="1">
        <v>902102267</v>
      </c>
      <c r="H47" s="10">
        <v>42489</v>
      </c>
      <c r="I47" s="11">
        <v>962</v>
      </c>
      <c r="J47" s="11">
        <v>205.7</v>
      </c>
      <c r="K47" s="11">
        <v>117.11</v>
      </c>
      <c r="L47" s="11">
        <v>197883.4</v>
      </c>
      <c r="M47" s="11">
        <v>112659.82</v>
      </c>
      <c r="N47" s="11">
        <v>85223.58</v>
      </c>
    </row>
    <row r="48" spans="1:14" x14ac:dyDescent="0.3">
      <c r="A48" t="s">
        <v>22</v>
      </c>
      <c r="B48" t="s">
        <v>74</v>
      </c>
      <c r="C48" t="s">
        <v>46</v>
      </c>
      <c r="D48" t="s">
        <v>21</v>
      </c>
      <c r="E48" t="s">
        <v>116</v>
      </c>
      <c r="F48">
        <v>42735</v>
      </c>
      <c r="G48" s="1">
        <v>331438481</v>
      </c>
      <c r="H48" s="10">
        <v>42735</v>
      </c>
      <c r="I48" s="11">
        <v>8867</v>
      </c>
      <c r="J48" s="11">
        <v>437.2</v>
      </c>
      <c r="K48" s="11">
        <v>263.33</v>
      </c>
      <c r="L48" s="11">
        <v>3876652.4</v>
      </c>
      <c r="M48" s="11">
        <v>2334947.11</v>
      </c>
      <c r="N48" s="11">
        <v>1541705.29</v>
      </c>
    </row>
    <row r="49" spans="1:14" x14ac:dyDescent="0.3">
      <c r="A49" t="s">
        <v>22</v>
      </c>
      <c r="B49" t="s">
        <v>61</v>
      </c>
      <c r="C49" t="s">
        <v>35</v>
      </c>
      <c r="D49" t="s">
        <v>21</v>
      </c>
      <c r="E49" t="s">
        <v>118</v>
      </c>
      <c r="F49">
        <v>40535</v>
      </c>
      <c r="G49" s="1">
        <v>617667090</v>
      </c>
      <c r="H49" s="10">
        <v>40574</v>
      </c>
      <c r="I49" s="11">
        <v>273</v>
      </c>
      <c r="J49" s="11">
        <v>81.73</v>
      </c>
      <c r="K49" s="11">
        <v>56.67</v>
      </c>
      <c r="L49" s="11">
        <v>22312.29</v>
      </c>
      <c r="M49" s="11">
        <v>15470.91</v>
      </c>
      <c r="N49" s="11">
        <v>6841.38</v>
      </c>
    </row>
    <row r="50" spans="1:14" x14ac:dyDescent="0.3">
      <c r="A50" t="s">
        <v>22</v>
      </c>
      <c r="B50" t="s">
        <v>75</v>
      </c>
      <c r="C50" t="s">
        <v>40</v>
      </c>
      <c r="D50" t="s">
        <v>17</v>
      </c>
      <c r="E50" t="s">
        <v>116</v>
      </c>
      <c r="F50">
        <v>41926</v>
      </c>
      <c r="G50" s="1">
        <v>787399423</v>
      </c>
      <c r="H50" s="10">
        <v>41957</v>
      </c>
      <c r="I50" s="11">
        <v>7842</v>
      </c>
      <c r="J50" s="11">
        <v>109.28</v>
      </c>
      <c r="K50" s="11">
        <v>35.840000000000003</v>
      </c>
      <c r="L50" s="11">
        <v>856973.76</v>
      </c>
      <c r="M50" s="11">
        <v>281057.28000000003</v>
      </c>
      <c r="N50" s="11">
        <v>575916.48</v>
      </c>
    </row>
    <row r="51" spans="1:14" x14ac:dyDescent="0.3">
      <c r="A51" t="s">
        <v>25</v>
      </c>
      <c r="B51" t="s">
        <v>76</v>
      </c>
      <c r="C51" t="s">
        <v>24</v>
      </c>
      <c r="D51" t="s">
        <v>17</v>
      </c>
      <c r="E51" t="s">
        <v>116</v>
      </c>
      <c r="F51">
        <v>40919</v>
      </c>
      <c r="G51" s="1">
        <v>837559306</v>
      </c>
      <c r="H51" s="10">
        <v>40921</v>
      </c>
      <c r="I51" s="11">
        <v>1266</v>
      </c>
      <c r="J51" s="11">
        <v>651.21</v>
      </c>
      <c r="K51" s="11">
        <v>524.96</v>
      </c>
      <c r="L51" s="11">
        <v>824431.86</v>
      </c>
      <c r="M51" s="11">
        <v>664599.36</v>
      </c>
      <c r="N51" s="11">
        <v>159832.5</v>
      </c>
    </row>
    <row r="52" spans="1:14" x14ac:dyDescent="0.3">
      <c r="A52" t="s">
        <v>22</v>
      </c>
      <c r="B52" t="s">
        <v>77</v>
      </c>
      <c r="C52" t="s">
        <v>40</v>
      </c>
      <c r="D52" t="s">
        <v>21</v>
      </c>
      <c r="E52" t="s">
        <v>116</v>
      </c>
      <c r="F52">
        <v>40211</v>
      </c>
      <c r="G52" s="1">
        <v>385383069</v>
      </c>
      <c r="H52" s="10">
        <v>40255</v>
      </c>
      <c r="I52" s="11">
        <v>2269</v>
      </c>
      <c r="J52" s="11">
        <v>109.28</v>
      </c>
      <c r="K52" s="11">
        <v>35.840000000000003</v>
      </c>
      <c r="L52" s="11">
        <v>247956.32</v>
      </c>
      <c r="M52" s="11">
        <v>81320.960000000006</v>
      </c>
      <c r="N52" s="11">
        <v>166635.35999999999</v>
      </c>
    </row>
    <row r="53" spans="1:14" x14ac:dyDescent="0.3">
      <c r="A53" t="s">
        <v>25</v>
      </c>
      <c r="B53" t="s">
        <v>78</v>
      </c>
      <c r="C53" t="s">
        <v>27</v>
      </c>
      <c r="D53" t="s">
        <v>21</v>
      </c>
      <c r="E53" t="s">
        <v>117</v>
      </c>
      <c r="F53">
        <v>41504</v>
      </c>
      <c r="G53" s="1">
        <v>918419539</v>
      </c>
      <c r="H53" s="10">
        <v>41535</v>
      </c>
      <c r="I53" s="11">
        <v>9606</v>
      </c>
      <c r="J53" s="11">
        <v>9.33</v>
      </c>
      <c r="K53" s="11">
        <v>6.92</v>
      </c>
      <c r="L53" s="11">
        <v>89623.98</v>
      </c>
      <c r="M53" s="11">
        <v>66473.52</v>
      </c>
      <c r="N53" s="11">
        <v>23150.46</v>
      </c>
    </row>
    <row r="54" spans="1:14" x14ac:dyDescent="0.3">
      <c r="A54" t="s">
        <v>67</v>
      </c>
      <c r="B54" t="s">
        <v>79</v>
      </c>
      <c r="C54" t="s">
        <v>20</v>
      </c>
      <c r="D54" t="s">
        <v>21</v>
      </c>
      <c r="E54" t="s">
        <v>118</v>
      </c>
      <c r="F54">
        <v>41358</v>
      </c>
      <c r="G54" s="1">
        <v>844530045</v>
      </c>
      <c r="H54" s="10">
        <v>41361</v>
      </c>
      <c r="I54" s="11">
        <v>4063</v>
      </c>
      <c r="J54" s="11">
        <v>205.7</v>
      </c>
      <c r="K54" s="11">
        <v>117.11</v>
      </c>
      <c r="L54" s="11">
        <v>835759.1</v>
      </c>
      <c r="M54" s="11">
        <v>475817.93</v>
      </c>
      <c r="N54" s="11">
        <v>359941.17</v>
      </c>
    </row>
    <row r="55" spans="1:14" x14ac:dyDescent="0.3">
      <c r="A55" t="s">
        <v>25</v>
      </c>
      <c r="B55" t="s">
        <v>80</v>
      </c>
      <c r="C55" t="s">
        <v>24</v>
      </c>
      <c r="D55" t="s">
        <v>17</v>
      </c>
      <c r="E55" t="s">
        <v>118</v>
      </c>
      <c r="F55">
        <v>40873</v>
      </c>
      <c r="G55" s="1">
        <v>441888415</v>
      </c>
      <c r="H55" s="10">
        <v>40915</v>
      </c>
      <c r="I55" s="11">
        <v>3457</v>
      </c>
      <c r="J55" s="11">
        <v>651.21</v>
      </c>
      <c r="K55" s="11">
        <v>524.96</v>
      </c>
      <c r="L55" s="11">
        <v>2251232.9700000002</v>
      </c>
      <c r="M55" s="11">
        <v>1814786.72</v>
      </c>
      <c r="N55" s="11">
        <v>436446.25</v>
      </c>
    </row>
    <row r="56" spans="1:14" x14ac:dyDescent="0.3">
      <c r="A56" t="s">
        <v>25</v>
      </c>
      <c r="B56" t="s">
        <v>26</v>
      </c>
      <c r="C56" t="s">
        <v>27</v>
      </c>
      <c r="D56" t="s">
        <v>17</v>
      </c>
      <c r="E56" t="s">
        <v>115</v>
      </c>
      <c r="F56">
        <v>41534</v>
      </c>
      <c r="G56" s="1">
        <v>508980977</v>
      </c>
      <c r="H56" s="10">
        <v>41571</v>
      </c>
      <c r="I56" s="11">
        <v>7637</v>
      </c>
      <c r="J56" s="11">
        <v>9.33</v>
      </c>
      <c r="K56" s="11">
        <v>6.92</v>
      </c>
      <c r="L56" s="11">
        <v>71253.210000000006</v>
      </c>
      <c r="M56" s="11">
        <v>52848.04</v>
      </c>
      <c r="N56" s="11">
        <v>18405.169999999998</v>
      </c>
    </row>
    <row r="57" spans="1:14" x14ac:dyDescent="0.3">
      <c r="A57" t="s">
        <v>25</v>
      </c>
      <c r="B57" t="s">
        <v>81</v>
      </c>
      <c r="C57" t="s">
        <v>40</v>
      </c>
      <c r="D57" t="s">
        <v>21</v>
      </c>
      <c r="E57" t="s">
        <v>116</v>
      </c>
      <c r="F57">
        <v>41068</v>
      </c>
      <c r="G57" s="1">
        <v>114606559</v>
      </c>
      <c r="H57" s="10">
        <v>41087</v>
      </c>
      <c r="I57" s="11">
        <v>3482</v>
      </c>
      <c r="J57" s="11">
        <v>109.28</v>
      </c>
      <c r="K57" s="11">
        <v>35.840000000000003</v>
      </c>
      <c r="L57" s="11">
        <v>380512.96</v>
      </c>
      <c r="M57" s="11">
        <v>124794.88</v>
      </c>
      <c r="N57" s="11">
        <v>255718.08</v>
      </c>
    </row>
    <row r="58" spans="1:14" x14ac:dyDescent="0.3">
      <c r="A58" t="s">
        <v>14</v>
      </c>
      <c r="B58" t="s">
        <v>82</v>
      </c>
      <c r="C58" t="s">
        <v>40</v>
      </c>
      <c r="D58" t="s">
        <v>17</v>
      </c>
      <c r="E58" t="s">
        <v>116</v>
      </c>
      <c r="F58">
        <v>40359</v>
      </c>
      <c r="G58" s="1">
        <v>647876489</v>
      </c>
      <c r="H58" s="10">
        <v>40391</v>
      </c>
      <c r="I58" s="11">
        <v>9905</v>
      </c>
      <c r="J58" s="11">
        <v>109.28</v>
      </c>
      <c r="K58" s="11">
        <v>35.840000000000003</v>
      </c>
      <c r="L58" s="11">
        <v>1082418.3999999999</v>
      </c>
      <c r="M58" s="11">
        <v>354995.20000000001</v>
      </c>
      <c r="N58" s="11">
        <v>727423.2</v>
      </c>
    </row>
    <row r="59" spans="1:14" x14ac:dyDescent="0.3">
      <c r="A59" t="s">
        <v>22</v>
      </c>
      <c r="B59" t="s">
        <v>83</v>
      </c>
      <c r="C59" t="s">
        <v>46</v>
      </c>
      <c r="D59" t="s">
        <v>17</v>
      </c>
      <c r="E59" t="s">
        <v>115</v>
      </c>
      <c r="F59">
        <v>42058</v>
      </c>
      <c r="G59" s="1">
        <v>868214595</v>
      </c>
      <c r="H59" s="10">
        <v>42065</v>
      </c>
      <c r="I59" s="11">
        <v>2847</v>
      </c>
      <c r="J59" s="11">
        <v>437.2</v>
      </c>
      <c r="K59" s="11">
        <v>263.33</v>
      </c>
      <c r="L59" s="11">
        <v>1244708.3999999999</v>
      </c>
      <c r="M59" s="11">
        <v>749700.51</v>
      </c>
      <c r="N59" s="11">
        <v>495007.89</v>
      </c>
    </row>
    <row r="60" spans="1:14" x14ac:dyDescent="0.3">
      <c r="A60" t="s">
        <v>22</v>
      </c>
      <c r="B60" t="s">
        <v>84</v>
      </c>
      <c r="C60" t="s">
        <v>31</v>
      </c>
      <c r="D60" t="s">
        <v>21</v>
      </c>
      <c r="E60" t="s">
        <v>117</v>
      </c>
      <c r="F60">
        <v>40913</v>
      </c>
      <c r="G60" s="1">
        <v>955357205</v>
      </c>
      <c r="H60" s="10">
        <v>40953</v>
      </c>
      <c r="I60" s="11">
        <v>282</v>
      </c>
      <c r="J60" s="11">
        <v>668.27</v>
      </c>
      <c r="K60" s="11">
        <v>502.54</v>
      </c>
      <c r="L60" s="11">
        <v>188452.14</v>
      </c>
      <c r="M60" s="11">
        <v>141716.28</v>
      </c>
      <c r="N60" s="11">
        <v>46735.86</v>
      </c>
    </row>
    <row r="61" spans="1:14" x14ac:dyDescent="0.3">
      <c r="A61" t="s">
        <v>25</v>
      </c>
      <c r="B61" t="s">
        <v>65</v>
      </c>
      <c r="C61" t="s">
        <v>46</v>
      </c>
      <c r="D61" t="s">
        <v>17</v>
      </c>
      <c r="E61" t="s">
        <v>115</v>
      </c>
      <c r="F61">
        <v>41736</v>
      </c>
      <c r="G61" s="1">
        <v>259353148</v>
      </c>
      <c r="H61" s="10">
        <v>41748</v>
      </c>
      <c r="I61" s="11">
        <v>7215</v>
      </c>
      <c r="J61" s="11">
        <v>437.2</v>
      </c>
      <c r="K61" s="11">
        <v>263.33</v>
      </c>
      <c r="L61" s="11">
        <v>3154398</v>
      </c>
      <c r="M61" s="11">
        <v>1899925.95</v>
      </c>
      <c r="N61" s="11">
        <v>1254472.05</v>
      </c>
    </row>
    <row r="62" spans="1:14" x14ac:dyDescent="0.3">
      <c r="A62" t="s">
        <v>14</v>
      </c>
      <c r="B62" t="s">
        <v>63</v>
      </c>
      <c r="C62" t="s">
        <v>20</v>
      </c>
      <c r="D62" t="s">
        <v>17</v>
      </c>
      <c r="E62" t="s">
        <v>115</v>
      </c>
      <c r="F62">
        <v>41434</v>
      </c>
      <c r="G62" s="1">
        <v>450563752</v>
      </c>
      <c r="H62" s="10">
        <v>41457</v>
      </c>
      <c r="I62" s="11">
        <v>682</v>
      </c>
      <c r="J62" s="11">
        <v>205.7</v>
      </c>
      <c r="K62" s="11">
        <v>117.11</v>
      </c>
      <c r="L62" s="11">
        <v>140287.4</v>
      </c>
      <c r="M62" s="11">
        <v>79869.02</v>
      </c>
      <c r="N62" s="11">
        <v>60418.38</v>
      </c>
    </row>
    <row r="63" spans="1:14" x14ac:dyDescent="0.3">
      <c r="A63" t="s">
        <v>22</v>
      </c>
      <c r="B63" t="s">
        <v>85</v>
      </c>
      <c r="C63" t="s">
        <v>16</v>
      </c>
      <c r="D63" t="s">
        <v>21</v>
      </c>
      <c r="E63" t="s">
        <v>117</v>
      </c>
      <c r="F63">
        <v>41451</v>
      </c>
      <c r="G63" s="1">
        <v>569662845</v>
      </c>
      <c r="H63" s="10">
        <v>41456</v>
      </c>
      <c r="I63" s="11">
        <v>4750</v>
      </c>
      <c r="J63" s="11">
        <v>255.28</v>
      </c>
      <c r="K63" s="11">
        <v>159.41999999999999</v>
      </c>
      <c r="L63" s="11">
        <v>1212580</v>
      </c>
      <c r="M63" s="11">
        <v>757245</v>
      </c>
      <c r="N63" s="11">
        <v>455335</v>
      </c>
    </row>
    <row r="64" spans="1:14" x14ac:dyDescent="0.3">
      <c r="A64" t="s">
        <v>25</v>
      </c>
      <c r="B64" t="s">
        <v>47</v>
      </c>
      <c r="C64" t="s">
        <v>24</v>
      </c>
      <c r="D64" t="s">
        <v>21</v>
      </c>
      <c r="E64" t="s">
        <v>118</v>
      </c>
      <c r="F64">
        <v>40854</v>
      </c>
      <c r="G64" s="1">
        <v>177636754</v>
      </c>
      <c r="H64" s="10">
        <v>40862</v>
      </c>
      <c r="I64" s="11">
        <v>5518</v>
      </c>
      <c r="J64" s="11">
        <v>651.21</v>
      </c>
      <c r="K64" s="11">
        <v>524.96</v>
      </c>
      <c r="L64" s="11">
        <v>3593376.78</v>
      </c>
      <c r="M64" s="11">
        <v>2896729.28</v>
      </c>
      <c r="N64" s="11">
        <v>696647.5</v>
      </c>
    </row>
    <row r="65" spans="1:14" x14ac:dyDescent="0.3">
      <c r="A65" t="s">
        <v>67</v>
      </c>
      <c r="B65" t="s">
        <v>86</v>
      </c>
      <c r="C65" t="s">
        <v>40</v>
      </c>
      <c r="D65" t="s">
        <v>17</v>
      </c>
      <c r="E65" t="s">
        <v>115</v>
      </c>
      <c r="F65">
        <v>40481</v>
      </c>
      <c r="G65" s="1">
        <v>705784308</v>
      </c>
      <c r="H65" s="10">
        <v>40499</v>
      </c>
      <c r="I65" s="11">
        <v>6116</v>
      </c>
      <c r="J65" s="11">
        <v>109.28</v>
      </c>
      <c r="K65" s="11">
        <v>35.840000000000003</v>
      </c>
      <c r="L65" s="11">
        <v>668356.48</v>
      </c>
      <c r="M65" s="11">
        <v>219197.44</v>
      </c>
      <c r="N65" s="11">
        <v>449159.04</v>
      </c>
    </row>
    <row r="66" spans="1:14" x14ac:dyDescent="0.3">
      <c r="A66" t="s">
        <v>18</v>
      </c>
      <c r="B66" t="s">
        <v>87</v>
      </c>
      <c r="C66" t="s">
        <v>46</v>
      </c>
      <c r="D66" t="s">
        <v>17</v>
      </c>
      <c r="E66" t="s">
        <v>115</v>
      </c>
      <c r="F66">
        <v>41560</v>
      </c>
      <c r="G66" s="1">
        <v>505716836</v>
      </c>
      <c r="H66" s="10">
        <v>41594</v>
      </c>
      <c r="I66" s="11">
        <v>1705</v>
      </c>
      <c r="J66" s="11">
        <v>437.2</v>
      </c>
      <c r="K66" s="11">
        <v>263.33</v>
      </c>
      <c r="L66" s="11">
        <v>745426</v>
      </c>
      <c r="M66" s="11">
        <v>448977.65</v>
      </c>
      <c r="N66" s="11">
        <v>296448.34999999998</v>
      </c>
    </row>
    <row r="67" spans="1:14" x14ac:dyDescent="0.3">
      <c r="A67" t="s">
        <v>25</v>
      </c>
      <c r="B67" t="s">
        <v>28</v>
      </c>
      <c r="C67" t="s">
        <v>46</v>
      </c>
      <c r="D67" t="s">
        <v>17</v>
      </c>
      <c r="E67" t="s">
        <v>115</v>
      </c>
      <c r="F67">
        <v>41558</v>
      </c>
      <c r="G67" s="1">
        <v>699358165</v>
      </c>
      <c r="H67" s="10">
        <v>41603</v>
      </c>
      <c r="I67" s="11">
        <v>4477</v>
      </c>
      <c r="J67" s="11">
        <v>437.2</v>
      </c>
      <c r="K67" s="11">
        <v>263.33</v>
      </c>
      <c r="L67" s="11">
        <v>1957344.4</v>
      </c>
      <c r="M67" s="11">
        <v>1178928.4099999999</v>
      </c>
      <c r="N67" s="11">
        <v>778415.99</v>
      </c>
    </row>
    <row r="68" spans="1:14" x14ac:dyDescent="0.3">
      <c r="A68" t="s">
        <v>25</v>
      </c>
      <c r="B68" t="s">
        <v>88</v>
      </c>
      <c r="C68" t="s">
        <v>35</v>
      </c>
      <c r="D68" t="s">
        <v>17</v>
      </c>
      <c r="E68" t="s">
        <v>117</v>
      </c>
      <c r="F68">
        <v>41098</v>
      </c>
      <c r="G68" s="1">
        <v>228944623</v>
      </c>
      <c r="H68" s="10">
        <v>41099</v>
      </c>
      <c r="I68" s="11">
        <v>8656</v>
      </c>
      <c r="J68" s="11">
        <v>81.73</v>
      </c>
      <c r="K68" s="11">
        <v>56.67</v>
      </c>
      <c r="L68" s="11">
        <v>707454.88</v>
      </c>
      <c r="M68" s="11">
        <v>490535.52</v>
      </c>
      <c r="N68" s="11">
        <v>216919.36</v>
      </c>
    </row>
    <row r="69" spans="1:14" x14ac:dyDescent="0.3">
      <c r="A69" t="s">
        <v>18</v>
      </c>
      <c r="B69" t="s">
        <v>89</v>
      </c>
      <c r="C69" t="s">
        <v>40</v>
      </c>
      <c r="D69" t="s">
        <v>17</v>
      </c>
      <c r="E69" t="s">
        <v>118</v>
      </c>
      <c r="F69">
        <v>42576</v>
      </c>
      <c r="G69" s="1">
        <v>807025039</v>
      </c>
      <c r="H69" s="10">
        <v>42620</v>
      </c>
      <c r="I69" s="11">
        <v>5498</v>
      </c>
      <c r="J69" s="11">
        <v>109.28</v>
      </c>
      <c r="K69" s="11">
        <v>35.840000000000003</v>
      </c>
      <c r="L69" s="11">
        <v>600821.43999999994</v>
      </c>
      <c r="M69" s="11">
        <v>197048.32000000001</v>
      </c>
      <c r="N69" s="11">
        <v>403773.12</v>
      </c>
    </row>
    <row r="70" spans="1:14" x14ac:dyDescent="0.3">
      <c r="A70" t="s">
        <v>22</v>
      </c>
      <c r="B70" t="s">
        <v>90</v>
      </c>
      <c r="C70" t="s">
        <v>24</v>
      </c>
      <c r="D70" t="s">
        <v>17</v>
      </c>
      <c r="E70" t="s">
        <v>115</v>
      </c>
      <c r="F70">
        <v>40475</v>
      </c>
      <c r="G70" s="1">
        <v>166460740</v>
      </c>
      <c r="H70" s="10">
        <v>40499</v>
      </c>
      <c r="I70" s="11">
        <v>8287</v>
      </c>
      <c r="J70" s="11">
        <v>651.21</v>
      </c>
      <c r="K70" s="11">
        <v>524.96</v>
      </c>
      <c r="L70" s="11">
        <v>5396577.2699999996</v>
      </c>
      <c r="M70" s="11">
        <v>4350343.5199999996</v>
      </c>
      <c r="N70" s="11">
        <v>1046233.75</v>
      </c>
    </row>
    <row r="71" spans="1:14" x14ac:dyDescent="0.3">
      <c r="A71" t="s">
        <v>25</v>
      </c>
      <c r="B71" t="s">
        <v>91</v>
      </c>
      <c r="C71" t="s">
        <v>40</v>
      </c>
      <c r="D71" t="s">
        <v>17</v>
      </c>
      <c r="E71" t="s">
        <v>117</v>
      </c>
      <c r="F71">
        <v>42119</v>
      </c>
      <c r="G71" s="1">
        <v>610425555</v>
      </c>
      <c r="H71" s="10">
        <v>42152</v>
      </c>
      <c r="I71" s="11">
        <v>7342</v>
      </c>
      <c r="J71" s="11">
        <v>109.28</v>
      </c>
      <c r="K71" s="11">
        <v>35.840000000000003</v>
      </c>
      <c r="L71" s="11">
        <v>802333.76</v>
      </c>
      <c r="M71" s="11">
        <v>263137.28000000003</v>
      </c>
      <c r="N71" s="11">
        <v>539196.48</v>
      </c>
    </row>
    <row r="72" spans="1:14" x14ac:dyDescent="0.3">
      <c r="A72" t="s">
        <v>37</v>
      </c>
      <c r="B72" t="s">
        <v>49</v>
      </c>
      <c r="C72" t="s">
        <v>24</v>
      </c>
      <c r="D72" t="s">
        <v>21</v>
      </c>
      <c r="E72" t="s">
        <v>118</v>
      </c>
      <c r="F72">
        <v>41387</v>
      </c>
      <c r="G72" s="1">
        <v>462405812</v>
      </c>
      <c r="H72" s="10">
        <v>41414</v>
      </c>
      <c r="I72" s="11">
        <v>5010</v>
      </c>
      <c r="J72" s="11">
        <v>651.21</v>
      </c>
      <c r="K72" s="11">
        <v>524.96</v>
      </c>
      <c r="L72" s="11">
        <v>3262562.1</v>
      </c>
      <c r="M72" s="11">
        <v>2630049.6</v>
      </c>
      <c r="N72" s="11">
        <v>632512.5</v>
      </c>
    </row>
    <row r="73" spans="1:14" x14ac:dyDescent="0.3">
      <c r="A73" t="s">
        <v>67</v>
      </c>
      <c r="B73" t="s">
        <v>86</v>
      </c>
      <c r="C73" t="s">
        <v>27</v>
      </c>
      <c r="D73" t="s">
        <v>21</v>
      </c>
      <c r="E73" t="s">
        <v>117</v>
      </c>
      <c r="F73">
        <v>42230</v>
      </c>
      <c r="G73" s="1">
        <v>816200339</v>
      </c>
      <c r="H73" s="10">
        <v>42277</v>
      </c>
      <c r="I73" s="11">
        <v>673</v>
      </c>
      <c r="J73" s="11">
        <v>9.33</v>
      </c>
      <c r="K73" s="11">
        <v>6.92</v>
      </c>
      <c r="L73" s="11">
        <v>6279.09</v>
      </c>
      <c r="M73" s="11">
        <v>4657.16</v>
      </c>
      <c r="N73" s="11">
        <v>1621.93</v>
      </c>
    </row>
    <row r="74" spans="1:14" x14ac:dyDescent="0.3">
      <c r="A74" t="s">
        <v>25</v>
      </c>
      <c r="B74" t="s">
        <v>92</v>
      </c>
      <c r="C74" t="s">
        <v>48</v>
      </c>
      <c r="D74" t="s">
        <v>21</v>
      </c>
      <c r="E74" t="s">
        <v>116</v>
      </c>
      <c r="F74">
        <v>40689</v>
      </c>
      <c r="G74" s="1">
        <v>585920464</v>
      </c>
      <c r="H74" s="10">
        <v>40739</v>
      </c>
      <c r="I74" s="11">
        <v>5741</v>
      </c>
      <c r="J74" s="11">
        <v>47.45</v>
      </c>
      <c r="K74" s="11">
        <v>31.79</v>
      </c>
      <c r="L74" s="11">
        <v>272410.45</v>
      </c>
      <c r="M74" s="11">
        <v>182506.39</v>
      </c>
      <c r="N74" s="11">
        <v>89904.06</v>
      </c>
    </row>
    <row r="75" spans="1:14" x14ac:dyDescent="0.3">
      <c r="A75" t="s">
        <v>25</v>
      </c>
      <c r="B75" t="s">
        <v>65</v>
      </c>
      <c r="C75" t="s">
        <v>20</v>
      </c>
      <c r="D75" t="s">
        <v>21</v>
      </c>
      <c r="E75" t="s">
        <v>115</v>
      </c>
      <c r="F75">
        <v>42875</v>
      </c>
      <c r="G75" s="1">
        <v>555990016</v>
      </c>
      <c r="H75" s="10">
        <v>42903</v>
      </c>
      <c r="I75" s="11">
        <v>8656</v>
      </c>
      <c r="J75" s="11">
        <v>205.7</v>
      </c>
      <c r="K75" s="11">
        <v>117.11</v>
      </c>
      <c r="L75" s="11">
        <v>1780539.2</v>
      </c>
      <c r="M75" s="11">
        <v>1013704.16</v>
      </c>
      <c r="N75" s="11">
        <v>766835.04</v>
      </c>
    </row>
    <row r="76" spans="1:14" x14ac:dyDescent="0.3">
      <c r="A76" t="s">
        <v>67</v>
      </c>
      <c r="B76" t="s">
        <v>93</v>
      </c>
      <c r="C76" t="s">
        <v>46</v>
      </c>
      <c r="D76" t="s">
        <v>17</v>
      </c>
      <c r="E76" t="s">
        <v>117</v>
      </c>
      <c r="F76">
        <v>41460</v>
      </c>
      <c r="G76" s="1">
        <v>231145322</v>
      </c>
      <c r="H76" s="10">
        <v>41502</v>
      </c>
      <c r="I76" s="11">
        <v>9892</v>
      </c>
      <c r="J76" s="11">
        <v>437.2</v>
      </c>
      <c r="K76" s="11">
        <v>263.33</v>
      </c>
      <c r="L76" s="11">
        <v>4324782.4000000004</v>
      </c>
      <c r="M76" s="11">
        <v>2604860.36</v>
      </c>
      <c r="N76" s="11">
        <v>1719922.04</v>
      </c>
    </row>
    <row r="77" spans="1:14" x14ac:dyDescent="0.3">
      <c r="A77" t="s">
        <v>94</v>
      </c>
      <c r="B77" t="s">
        <v>95</v>
      </c>
      <c r="C77" t="s">
        <v>31</v>
      </c>
      <c r="D77" t="s">
        <v>17</v>
      </c>
      <c r="E77" t="s">
        <v>116</v>
      </c>
      <c r="F77">
        <v>41949</v>
      </c>
      <c r="G77" s="1">
        <v>986435210</v>
      </c>
      <c r="H77" s="10">
        <v>41985</v>
      </c>
      <c r="I77" s="11">
        <v>6954</v>
      </c>
      <c r="J77" s="11">
        <v>668.27</v>
      </c>
      <c r="K77" s="11">
        <v>502.54</v>
      </c>
      <c r="L77" s="11">
        <v>4647149.58</v>
      </c>
      <c r="M77" s="11">
        <v>3494663.16</v>
      </c>
      <c r="N77" s="11">
        <v>1152486.42</v>
      </c>
    </row>
    <row r="78" spans="1:14" x14ac:dyDescent="0.3">
      <c r="A78" t="s">
        <v>14</v>
      </c>
      <c r="B78" t="s">
        <v>96</v>
      </c>
      <c r="C78" t="s">
        <v>48</v>
      </c>
      <c r="D78" t="s">
        <v>21</v>
      </c>
      <c r="E78" t="s">
        <v>116</v>
      </c>
      <c r="F78">
        <v>41940</v>
      </c>
      <c r="G78" s="1">
        <v>217221009</v>
      </c>
      <c r="H78" s="10">
        <v>41958</v>
      </c>
      <c r="I78" s="11">
        <v>9379</v>
      </c>
      <c r="J78" s="11">
        <v>47.45</v>
      </c>
      <c r="K78" s="11">
        <v>31.79</v>
      </c>
      <c r="L78" s="11">
        <v>445033.55</v>
      </c>
      <c r="M78" s="11">
        <v>298158.40999999997</v>
      </c>
      <c r="N78" s="11">
        <v>146875.14000000001</v>
      </c>
    </row>
    <row r="79" spans="1:14" x14ac:dyDescent="0.3">
      <c r="A79" t="s">
        <v>37</v>
      </c>
      <c r="B79" t="s">
        <v>97</v>
      </c>
      <c r="C79" t="s">
        <v>33</v>
      </c>
      <c r="D79" t="s">
        <v>17</v>
      </c>
      <c r="E79" t="s">
        <v>116</v>
      </c>
      <c r="F79">
        <v>40801</v>
      </c>
      <c r="G79" s="1">
        <v>789176547</v>
      </c>
      <c r="H79" s="10">
        <v>40839</v>
      </c>
      <c r="I79" s="11">
        <v>3732</v>
      </c>
      <c r="J79" s="11">
        <v>154.06</v>
      </c>
      <c r="K79" s="11">
        <v>90.93</v>
      </c>
      <c r="L79" s="11">
        <v>574951.92000000004</v>
      </c>
      <c r="M79" s="11">
        <v>339350.76</v>
      </c>
      <c r="N79" s="11">
        <v>235601.16</v>
      </c>
    </row>
    <row r="80" spans="1:14" x14ac:dyDescent="0.3">
      <c r="A80" t="s">
        <v>22</v>
      </c>
      <c r="B80" t="s">
        <v>98</v>
      </c>
      <c r="C80" t="s">
        <v>16</v>
      </c>
      <c r="D80" t="s">
        <v>17</v>
      </c>
      <c r="E80" t="s">
        <v>115</v>
      </c>
      <c r="F80">
        <v>41058</v>
      </c>
      <c r="G80" s="1">
        <v>688288152</v>
      </c>
      <c r="H80" s="10">
        <v>41062</v>
      </c>
      <c r="I80" s="11">
        <v>8614</v>
      </c>
      <c r="J80" s="11">
        <v>255.28</v>
      </c>
      <c r="K80" s="11">
        <v>159.41999999999999</v>
      </c>
      <c r="L80" s="11">
        <v>2198981.92</v>
      </c>
      <c r="M80" s="11">
        <v>1373243.88</v>
      </c>
      <c r="N80" s="11">
        <v>825738.04</v>
      </c>
    </row>
    <row r="81" spans="1:14" x14ac:dyDescent="0.3">
      <c r="A81" t="s">
        <v>14</v>
      </c>
      <c r="B81" t="s">
        <v>99</v>
      </c>
      <c r="C81" t="s">
        <v>46</v>
      </c>
      <c r="D81" t="s">
        <v>21</v>
      </c>
      <c r="E81" t="s">
        <v>115</v>
      </c>
      <c r="F81">
        <v>41475</v>
      </c>
      <c r="G81" s="1">
        <v>670854651</v>
      </c>
      <c r="H81" s="10">
        <v>41493</v>
      </c>
      <c r="I81" s="11">
        <v>9654</v>
      </c>
      <c r="J81" s="11">
        <v>437.2</v>
      </c>
      <c r="K81" s="11">
        <v>263.33</v>
      </c>
      <c r="L81" s="11">
        <v>4220728.8</v>
      </c>
      <c r="M81" s="11">
        <v>2542187.8199999998</v>
      </c>
      <c r="N81" s="11">
        <v>1678540.98</v>
      </c>
    </row>
    <row r="82" spans="1:14" x14ac:dyDescent="0.3">
      <c r="A82" t="s">
        <v>22</v>
      </c>
      <c r="B82" t="s">
        <v>100</v>
      </c>
      <c r="C82" t="s">
        <v>31</v>
      </c>
      <c r="D82" t="s">
        <v>17</v>
      </c>
      <c r="E82" t="s">
        <v>117</v>
      </c>
      <c r="F82">
        <v>41203</v>
      </c>
      <c r="G82" s="1">
        <v>213487374</v>
      </c>
      <c r="H82" s="10">
        <v>41243</v>
      </c>
      <c r="I82" s="11">
        <v>4513</v>
      </c>
      <c r="J82" s="11">
        <v>668.27</v>
      </c>
      <c r="K82" s="11">
        <v>502.54</v>
      </c>
      <c r="L82" s="11">
        <v>3015902.51</v>
      </c>
      <c r="M82" s="11">
        <v>2267963.02</v>
      </c>
      <c r="N82" s="11">
        <v>747939.49</v>
      </c>
    </row>
    <row r="83" spans="1:14" x14ac:dyDescent="0.3">
      <c r="A83" t="s">
        <v>67</v>
      </c>
      <c r="B83" t="s">
        <v>101</v>
      </c>
      <c r="C83" t="s">
        <v>40</v>
      </c>
      <c r="D83" t="s">
        <v>21</v>
      </c>
      <c r="E83" t="s">
        <v>117</v>
      </c>
      <c r="F83">
        <v>41170</v>
      </c>
      <c r="G83" s="1">
        <v>663110148</v>
      </c>
      <c r="H83" s="10">
        <v>41190</v>
      </c>
      <c r="I83" s="11">
        <v>7884</v>
      </c>
      <c r="J83" s="11">
        <v>109.28</v>
      </c>
      <c r="K83" s="11">
        <v>35.840000000000003</v>
      </c>
      <c r="L83" s="11">
        <v>861563.52</v>
      </c>
      <c r="M83" s="11">
        <v>282562.56</v>
      </c>
      <c r="N83" s="11">
        <v>579000.96</v>
      </c>
    </row>
    <row r="84" spans="1:14" x14ac:dyDescent="0.3">
      <c r="A84" t="s">
        <v>67</v>
      </c>
      <c r="B84" t="s">
        <v>102</v>
      </c>
      <c r="C84" t="s">
        <v>46</v>
      </c>
      <c r="D84" t="s">
        <v>21</v>
      </c>
      <c r="E84" t="s">
        <v>115</v>
      </c>
      <c r="F84">
        <v>42689</v>
      </c>
      <c r="G84" s="1">
        <v>286959302</v>
      </c>
      <c r="H84" s="10">
        <v>42712</v>
      </c>
      <c r="I84" s="11">
        <v>6489</v>
      </c>
      <c r="J84" s="11">
        <v>437.2</v>
      </c>
      <c r="K84" s="11">
        <v>263.33</v>
      </c>
      <c r="L84" s="11">
        <v>2836990.8</v>
      </c>
      <c r="M84" s="11">
        <v>1708748.37</v>
      </c>
      <c r="N84" s="11">
        <v>1128242.43</v>
      </c>
    </row>
    <row r="85" spans="1:14" x14ac:dyDescent="0.3">
      <c r="A85" t="s">
        <v>25</v>
      </c>
      <c r="B85" t="s">
        <v>103</v>
      </c>
      <c r="C85" t="s">
        <v>54</v>
      </c>
      <c r="D85" t="s">
        <v>21</v>
      </c>
      <c r="E85" t="s">
        <v>117</v>
      </c>
      <c r="F85">
        <v>40547</v>
      </c>
      <c r="G85" s="1">
        <v>122583663</v>
      </c>
      <c r="H85" s="10">
        <v>40548</v>
      </c>
      <c r="I85" s="11">
        <v>4085</v>
      </c>
      <c r="J85" s="11">
        <v>152.58000000000001</v>
      </c>
      <c r="K85" s="11">
        <v>97.44</v>
      </c>
      <c r="L85" s="11">
        <v>623289.30000000005</v>
      </c>
      <c r="M85" s="11">
        <v>398042.4</v>
      </c>
      <c r="N85" s="11">
        <v>225246.9</v>
      </c>
    </row>
    <row r="86" spans="1:14" x14ac:dyDescent="0.3">
      <c r="A86" t="s">
        <v>25</v>
      </c>
      <c r="B86" t="s">
        <v>104</v>
      </c>
      <c r="C86" t="s">
        <v>33</v>
      </c>
      <c r="D86" t="s">
        <v>21</v>
      </c>
      <c r="E86" t="s">
        <v>117</v>
      </c>
      <c r="F86">
        <v>40986</v>
      </c>
      <c r="G86" s="1">
        <v>827844560</v>
      </c>
      <c r="H86" s="10">
        <v>41006</v>
      </c>
      <c r="I86" s="11">
        <v>6457</v>
      </c>
      <c r="J86" s="11">
        <v>154.06</v>
      </c>
      <c r="K86" s="11">
        <v>90.93</v>
      </c>
      <c r="L86" s="11">
        <v>994765.42</v>
      </c>
      <c r="M86" s="11">
        <v>587135.01</v>
      </c>
      <c r="N86" s="11">
        <v>407630.41</v>
      </c>
    </row>
    <row r="87" spans="1:14" x14ac:dyDescent="0.3">
      <c r="A87" t="s">
        <v>94</v>
      </c>
      <c r="B87" t="s">
        <v>95</v>
      </c>
      <c r="C87" t="s">
        <v>35</v>
      </c>
      <c r="D87" t="s">
        <v>17</v>
      </c>
      <c r="E87" t="s">
        <v>117</v>
      </c>
      <c r="F87">
        <v>40956</v>
      </c>
      <c r="G87" s="1">
        <v>430915820</v>
      </c>
      <c r="H87" s="10">
        <v>40988</v>
      </c>
      <c r="I87" s="11">
        <v>6422</v>
      </c>
      <c r="J87" s="11">
        <v>81.73</v>
      </c>
      <c r="K87" s="11">
        <v>56.67</v>
      </c>
      <c r="L87" s="11">
        <v>524870.06000000006</v>
      </c>
      <c r="M87" s="11">
        <v>363934.74</v>
      </c>
      <c r="N87" s="11">
        <v>160935.32</v>
      </c>
    </row>
    <row r="88" spans="1:14" x14ac:dyDescent="0.3">
      <c r="A88" t="s">
        <v>25</v>
      </c>
      <c r="B88" t="s">
        <v>26</v>
      </c>
      <c r="C88" t="s">
        <v>48</v>
      </c>
      <c r="D88" t="s">
        <v>17</v>
      </c>
      <c r="E88" t="s">
        <v>116</v>
      </c>
      <c r="F88">
        <v>40559</v>
      </c>
      <c r="G88" s="1">
        <v>180283772</v>
      </c>
      <c r="H88" s="10">
        <v>40564</v>
      </c>
      <c r="I88" s="11">
        <v>8829</v>
      </c>
      <c r="J88" s="11">
        <v>47.45</v>
      </c>
      <c r="K88" s="11">
        <v>31.79</v>
      </c>
      <c r="L88" s="11">
        <v>418936.05</v>
      </c>
      <c r="M88" s="11">
        <v>280673.90999999997</v>
      </c>
      <c r="N88" s="11">
        <v>138262.14000000001</v>
      </c>
    </row>
    <row r="89" spans="1:14" x14ac:dyDescent="0.3">
      <c r="A89" t="s">
        <v>25</v>
      </c>
      <c r="B89" t="s">
        <v>60</v>
      </c>
      <c r="C89" t="s">
        <v>16</v>
      </c>
      <c r="D89" t="s">
        <v>17</v>
      </c>
      <c r="E89" t="s">
        <v>118</v>
      </c>
      <c r="F89">
        <v>41673</v>
      </c>
      <c r="G89" s="1">
        <v>494747245</v>
      </c>
      <c r="H89" s="10">
        <v>41718</v>
      </c>
      <c r="I89" s="11">
        <v>5559</v>
      </c>
      <c r="J89" s="11">
        <v>255.28</v>
      </c>
      <c r="K89" s="11">
        <v>159.41999999999999</v>
      </c>
      <c r="L89" s="11">
        <v>1419101.52</v>
      </c>
      <c r="M89" s="11">
        <v>886215.78</v>
      </c>
      <c r="N89" s="11">
        <v>532885.74</v>
      </c>
    </row>
    <row r="90" spans="1:14" x14ac:dyDescent="0.3">
      <c r="A90" t="s">
        <v>67</v>
      </c>
      <c r="B90" t="s">
        <v>105</v>
      </c>
      <c r="C90" t="s">
        <v>27</v>
      </c>
      <c r="D90" t="s">
        <v>21</v>
      </c>
      <c r="E90" t="s">
        <v>118</v>
      </c>
      <c r="F90">
        <v>41029</v>
      </c>
      <c r="G90" s="1">
        <v>513417565</v>
      </c>
      <c r="H90" s="10">
        <v>41047</v>
      </c>
      <c r="I90" s="11">
        <v>522</v>
      </c>
      <c r="J90" s="11">
        <v>9.33</v>
      </c>
      <c r="K90" s="11">
        <v>6.92</v>
      </c>
      <c r="L90" s="11">
        <v>4870.26</v>
      </c>
      <c r="M90" s="11">
        <v>3612.24</v>
      </c>
      <c r="N90" s="11">
        <v>1258.02</v>
      </c>
    </row>
    <row r="91" spans="1:14" x14ac:dyDescent="0.3">
      <c r="A91" t="s">
        <v>22</v>
      </c>
      <c r="B91" t="s">
        <v>106</v>
      </c>
      <c r="C91" t="s">
        <v>48</v>
      </c>
      <c r="D91" t="s">
        <v>17</v>
      </c>
      <c r="E91" t="s">
        <v>116</v>
      </c>
      <c r="F91">
        <v>42666</v>
      </c>
      <c r="G91" s="1">
        <v>345718562</v>
      </c>
      <c r="H91" s="10">
        <v>42699</v>
      </c>
      <c r="I91" s="11">
        <v>4660</v>
      </c>
      <c r="J91" s="11">
        <v>47.45</v>
      </c>
      <c r="K91" s="11">
        <v>31.79</v>
      </c>
      <c r="L91" s="11">
        <v>221117</v>
      </c>
      <c r="M91" s="11">
        <v>148141.4</v>
      </c>
      <c r="N91" s="11">
        <v>72975.600000000006</v>
      </c>
    </row>
    <row r="92" spans="1:14" x14ac:dyDescent="0.3">
      <c r="A92" t="s">
        <v>25</v>
      </c>
      <c r="B92" t="s">
        <v>80</v>
      </c>
      <c r="C92" t="s">
        <v>24</v>
      </c>
      <c r="D92" t="s">
        <v>17</v>
      </c>
      <c r="E92" t="s">
        <v>115</v>
      </c>
      <c r="F92">
        <v>42710</v>
      </c>
      <c r="G92" s="1">
        <v>621386563</v>
      </c>
      <c r="H92" s="10">
        <v>42718</v>
      </c>
      <c r="I92" s="11">
        <v>948</v>
      </c>
      <c r="J92" s="11">
        <v>651.21</v>
      </c>
      <c r="K92" s="11">
        <v>524.96</v>
      </c>
      <c r="L92" s="11">
        <v>617347.07999999996</v>
      </c>
      <c r="M92" s="11">
        <v>497662.08</v>
      </c>
      <c r="N92" s="11">
        <v>119685</v>
      </c>
    </row>
    <row r="93" spans="1:14" x14ac:dyDescent="0.3">
      <c r="A93" t="s">
        <v>14</v>
      </c>
      <c r="B93" t="s">
        <v>63</v>
      </c>
      <c r="C93" t="s">
        <v>48</v>
      </c>
      <c r="D93" t="s">
        <v>17</v>
      </c>
      <c r="E93" t="s">
        <v>115</v>
      </c>
      <c r="F93">
        <v>41827</v>
      </c>
      <c r="G93" s="1">
        <v>240470397</v>
      </c>
      <c r="H93" s="10">
        <v>41831</v>
      </c>
      <c r="I93" s="11">
        <v>9389</v>
      </c>
      <c r="J93" s="11">
        <v>47.45</v>
      </c>
      <c r="K93" s="11">
        <v>31.79</v>
      </c>
      <c r="L93" s="11">
        <v>445508.05</v>
      </c>
      <c r="M93" s="11">
        <v>298476.31</v>
      </c>
      <c r="N93" s="11">
        <v>147031.74</v>
      </c>
    </row>
    <row r="94" spans="1:14" x14ac:dyDescent="0.3">
      <c r="A94" t="s">
        <v>67</v>
      </c>
      <c r="B94" t="s">
        <v>71</v>
      </c>
      <c r="C94" t="s">
        <v>24</v>
      </c>
      <c r="D94" t="s">
        <v>21</v>
      </c>
      <c r="E94" t="s">
        <v>118</v>
      </c>
      <c r="F94">
        <v>41073</v>
      </c>
      <c r="G94" s="1">
        <v>423331391</v>
      </c>
      <c r="H94" s="10">
        <v>41114</v>
      </c>
      <c r="I94" s="11">
        <v>2021</v>
      </c>
      <c r="J94" s="11">
        <v>651.21</v>
      </c>
      <c r="K94" s="11">
        <v>524.96</v>
      </c>
      <c r="L94" s="11">
        <v>1316095.4099999999</v>
      </c>
      <c r="M94" s="11">
        <v>1060944.1599999999</v>
      </c>
      <c r="N94" s="11">
        <v>255151.25</v>
      </c>
    </row>
    <row r="95" spans="1:14" x14ac:dyDescent="0.3">
      <c r="A95" t="s">
        <v>22</v>
      </c>
      <c r="B95" t="s">
        <v>107</v>
      </c>
      <c r="C95" t="s">
        <v>46</v>
      </c>
      <c r="D95" t="s">
        <v>21</v>
      </c>
      <c r="E95" t="s">
        <v>115</v>
      </c>
      <c r="F95">
        <v>40508</v>
      </c>
      <c r="G95" s="1">
        <v>660643374</v>
      </c>
      <c r="H95" s="10">
        <v>40537</v>
      </c>
      <c r="I95" s="11">
        <v>7910</v>
      </c>
      <c r="J95" s="11">
        <v>437.2</v>
      </c>
      <c r="K95" s="11">
        <v>263.33</v>
      </c>
      <c r="L95" s="11">
        <v>3458252</v>
      </c>
      <c r="M95" s="11">
        <v>2082940.3</v>
      </c>
      <c r="N95" s="11">
        <v>1375311.7</v>
      </c>
    </row>
    <row r="96" spans="1:14" x14ac:dyDescent="0.3">
      <c r="A96" t="s">
        <v>18</v>
      </c>
      <c r="B96" t="s">
        <v>108</v>
      </c>
      <c r="C96" t="s">
        <v>48</v>
      </c>
      <c r="D96" t="s">
        <v>17</v>
      </c>
      <c r="E96" t="s">
        <v>116</v>
      </c>
      <c r="F96">
        <v>40582</v>
      </c>
      <c r="G96" s="1">
        <v>963392674</v>
      </c>
      <c r="H96" s="10">
        <v>40623</v>
      </c>
      <c r="I96" s="11">
        <v>8156</v>
      </c>
      <c r="J96" s="11">
        <v>47.45</v>
      </c>
      <c r="K96" s="11">
        <v>31.79</v>
      </c>
      <c r="L96" s="11">
        <v>387002.2</v>
      </c>
      <c r="M96" s="11">
        <v>259279.24</v>
      </c>
      <c r="N96" s="11">
        <v>127722.96</v>
      </c>
    </row>
    <row r="97" spans="1:14" x14ac:dyDescent="0.3">
      <c r="A97" t="s">
        <v>25</v>
      </c>
      <c r="B97" t="s">
        <v>59</v>
      </c>
      <c r="C97" t="s">
        <v>40</v>
      </c>
      <c r="D97" t="s">
        <v>21</v>
      </c>
      <c r="E97" t="s">
        <v>118</v>
      </c>
      <c r="F97">
        <v>40750</v>
      </c>
      <c r="G97" s="1">
        <v>512878119</v>
      </c>
      <c r="H97" s="10">
        <v>40789</v>
      </c>
      <c r="I97" s="11">
        <v>888</v>
      </c>
      <c r="J97" s="11">
        <v>109.28</v>
      </c>
      <c r="K97" s="11">
        <v>35.840000000000003</v>
      </c>
      <c r="L97" s="11">
        <v>97040.639999999999</v>
      </c>
      <c r="M97" s="11">
        <v>31825.919999999998</v>
      </c>
      <c r="N97" s="11">
        <v>65214.720000000001</v>
      </c>
    </row>
    <row r="98" spans="1:14" x14ac:dyDescent="0.3">
      <c r="A98" t="s">
        <v>37</v>
      </c>
      <c r="B98" t="s">
        <v>109</v>
      </c>
      <c r="C98" t="s">
        <v>27</v>
      </c>
      <c r="D98" t="s">
        <v>17</v>
      </c>
      <c r="E98" t="s">
        <v>117</v>
      </c>
      <c r="F98">
        <v>40858</v>
      </c>
      <c r="G98" s="1">
        <v>810711038</v>
      </c>
      <c r="H98" s="10">
        <v>40905</v>
      </c>
      <c r="I98" s="11">
        <v>6267</v>
      </c>
      <c r="J98" s="11">
        <v>9.33</v>
      </c>
      <c r="K98" s="11">
        <v>6.92</v>
      </c>
      <c r="L98" s="11">
        <v>58471.11</v>
      </c>
      <c r="M98" s="11">
        <v>43367.64</v>
      </c>
      <c r="N98" s="11">
        <v>15103.47</v>
      </c>
    </row>
    <row r="99" spans="1:14" x14ac:dyDescent="0.3">
      <c r="A99" t="s">
        <v>25</v>
      </c>
      <c r="B99" t="s">
        <v>80</v>
      </c>
      <c r="C99" t="s">
        <v>33</v>
      </c>
      <c r="D99" t="s">
        <v>17</v>
      </c>
      <c r="E99" t="s">
        <v>116</v>
      </c>
      <c r="F99">
        <v>42522</v>
      </c>
      <c r="G99" s="1">
        <v>728815257</v>
      </c>
      <c r="H99" s="10">
        <v>42550</v>
      </c>
      <c r="I99" s="11">
        <v>1485</v>
      </c>
      <c r="J99" s="11">
        <v>154.06</v>
      </c>
      <c r="K99" s="11">
        <v>90.93</v>
      </c>
      <c r="L99" s="11">
        <v>228779.1</v>
      </c>
      <c r="M99" s="11">
        <v>135031.04999999999</v>
      </c>
      <c r="N99" s="11">
        <v>93748.05</v>
      </c>
    </row>
    <row r="100" spans="1:14" x14ac:dyDescent="0.3">
      <c r="A100" t="s">
        <v>94</v>
      </c>
      <c r="B100" t="s">
        <v>95</v>
      </c>
      <c r="C100" t="s">
        <v>35</v>
      </c>
      <c r="D100" t="s">
        <v>17</v>
      </c>
      <c r="E100" t="s">
        <v>118</v>
      </c>
      <c r="F100">
        <v>42215</v>
      </c>
      <c r="G100" s="1">
        <v>559427106</v>
      </c>
      <c r="H100" s="10">
        <v>42224</v>
      </c>
      <c r="I100" s="11">
        <v>5767</v>
      </c>
      <c r="J100" s="11">
        <v>81.73</v>
      </c>
      <c r="K100" s="11">
        <v>56.67</v>
      </c>
      <c r="L100" s="11">
        <v>471336.91</v>
      </c>
      <c r="M100" s="11">
        <v>326815.89</v>
      </c>
      <c r="N100" s="11">
        <v>144521.01999999999</v>
      </c>
    </row>
    <row r="101" spans="1:14" x14ac:dyDescent="0.3">
      <c r="A101" t="s">
        <v>25</v>
      </c>
      <c r="B101" t="s">
        <v>110</v>
      </c>
      <c r="C101" t="s">
        <v>31</v>
      </c>
      <c r="D101" t="s">
        <v>17</v>
      </c>
      <c r="E101" t="s">
        <v>117</v>
      </c>
      <c r="F101">
        <v>40949</v>
      </c>
      <c r="G101" s="1">
        <v>665095412</v>
      </c>
      <c r="H101" s="10">
        <v>40954</v>
      </c>
      <c r="I101" s="11">
        <v>5367</v>
      </c>
      <c r="J101" s="11">
        <v>668.27</v>
      </c>
      <c r="K101" s="11">
        <v>502.54</v>
      </c>
      <c r="L101" s="11">
        <v>3586605.09</v>
      </c>
      <c r="M101" s="11">
        <v>2697132.18</v>
      </c>
      <c r="N101" s="11">
        <v>889472.91</v>
      </c>
    </row>
  </sheetData>
  <conditionalFormatting sqref="P93">
    <cfRule type="uniqu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2238"/>
  <sheetViews>
    <sheetView topLeftCell="D1" zoomScaleNormal="100" workbookViewId="0">
      <selection activeCell="I2" sqref="I2"/>
    </sheetView>
  </sheetViews>
  <sheetFormatPr defaultRowHeight="14.4" x14ac:dyDescent="0.3"/>
  <cols>
    <col min="1" max="1" width="29.77734375" bestFit="1" customWidth="1"/>
    <col min="2" max="2" width="29.21875" bestFit="1" customWidth="1"/>
    <col min="3" max="3" width="16" bestFit="1" customWidth="1"/>
    <col min="4" max="4" width="20.77734375" customWidth="1"/>
    <col min="5" max="5" width="21.109375" bestFit="1" customWidth="1"/>
    <col min="6" max="6" width="17.44140625" style="12" bestFit="1" customWidth="1"/>
    <col min="7" max="7" width="14.109375" style="1" bestFit="1" customWidth="1"/>
    <col min="8" max="8" width="17.44140625" style="12" bestFit="1" customWidth="1"/>
    <col min="9" max="9" width="17.44140625" style="1" customWidth="1"/>
    <col min="10" max="10" width="21" style="1" customWidth="1"/>
    <col min="11" max="12" width="17.44140625" style="1" customWidth="1"/>
    <col min="13" max="13" width="16.88671875" style="1" bestFit="1" customWidth="1"/>
    <col min="14" max="14" width="15.88671875" style="31" bestFit="1" customWidth="1"/>
    <col min="15" max="15" width="15.77734375" style="31" bestFit="1" customWidth="1"/>
    <col min="16" max="16" width="21.5546875" style="30" bestFit="1" customWidth="1"/>
    <col min="17" max="17" width="16.77734375" style="30" bestFit="1" customWidth="1"/>
    <col min="18" max="18" width="17.6640625" style="30" bestFit="1" customWidth="1"/>
    <col min="19" max="19" width="9.109375" style="1"/>
    <col min="20" max="20" width="9.109375" style="1" customWidth="1"/>
    <col min="21" max="21" width="29.44140625" style="1" customWidth="1"/>
    <col min="22" max="22" width="20.88671875" style="1" customWidth="1"/>
    <col min="23" max="23" width="11" style="1" bestFit="1" customWidth="1"/>
    <col min="24" max="24" width="9.109375" style="1"/>
    <col min="25" max="25" width="30" style="1" bestFit="1" customWidth="1"/>
    <col min="26" max="26" width="14.88671875" style="1" bestFit="1" customWidth="1"/>
    <col min="27" max="171" width="9.109375" style="1"/>
  </cols>
  <sheetData>
    <row r="1" spans="1:171" s="3" customFormat="1" ht="21" x14ac:dyDescent="0.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6" t="s">
        <v>7</v>
      </c>
      <c r="I1" s="17" t="s">
        <v>122</v>
      </c>
      <c r="J1" s="17" t="s">
        <v>155</v>
      </c>
      <c r="K1" s="17" t="s">
        <v>123</v>
      </c>
      <c r="L1" s="17" t="s">
        <v>121</v>
      </c>
      <c r="M1" s="17" t="s">
        <v>8</v>
      </c>
      <c r="N1" s="32" t="s">
        <v>9</v>
      </c>
      <c r="O1" s="32" t="s">
        <v>10</v>
      </c>
      <c r="P1" s="29" t="s">
        <v>11</v>
      </c>
      <c r="Q1" s="29" t="s">
        <v>12</v>
      </c>
      <c r="R1" s="29" t="s">
        <v>13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</row>
    <row r="2" spans="1:171" x14ac:dyDescent="0.3">
      <c r="A2" t="s">
        <v>14</v>
      </c>
      <c r="B2" t="s">
        <v>15</v>
      </c>
      <c r="C2" t="s">
        <v>16</v>
      </c>
      <c r="D2" t="s">
        <v>119</v>
      </c>
      <c r="E2" t="s">
        <v>113</v>
      </c>
      <c r="F2" s="12">
        <v>40326</v>
      </c>
      <c r="G2" s="1">
        <v>669165933</v>
      </c>
      <c r="H2" s="12">
        <v>40356</v>
      </c>
      <c r="I2" s="1">
        <f>YEAR(F2)</f>
        <v>2010</v>
      </c>
      <c r="J2" s="1">
        <f>MONTH(F2)</f>
        <v>5</v>
      </c>
      <c r="K2" s="1" t="str">
        <f>TEXT(F2,"mmm")</f>
        <v>May</v>
      </c>
      <c r="L2" s="1">
        <f>H2-F2</f>
        <v>30</v>
      </c>
      <c r="M2" s="1">
        <v>9925</v>
      </c>
      <c r="N2" s="31">
        <v>255.28</v>
      </c>
      <c r="O2" s="31">
        <v>159.41999999999999</v>
      </c>
      <c r="P2" s="30">
        <v>2533654</v>
      </c>
      <c r="Q2" s="30">
        <v>1582243.5</v>
      </c>
      <c r="R2" s="30">
        <v>951410.5</v>
      </c>
      <c r="V2" s="5"/>
      <c r="Z2" s="6"/>
    </row>
    <row r="3" spans="1:171" x14ac:dyDescent="0.3">
      <c r="A3" t="s">
        <v>18</v>
      </c>
      <c r="B3" t="s">
        <v>19</v>
      </c>
      <c r="C3" t="s">
        <v>20</v>
      </c>
      <c r="D3" t="s">
        <v>120</v>
      </c>
      <c r="E3" t="s">
        <v>111</v>
      </c>
      <c r="F3" s="12">
        <v>41143</v>
      </c>
      <c r="G3" s="1">
        <v>963881480</v>
      </c>
      <c r="H3" s="12">
        <v>41167</v>
      </c>
      <c r="I3" s="1">
        <f t="shared" ref="I3:I66" si="0">YEAR(F3)</f>
        <v>2012</v>
      </c>
      <c r="J3" s="1">
        <f t="shared" ref="J3:J66" si="1">MONTH(F3)</f>
        <v>8</v>
      </c>
      <c r="K3" s="1" t="str">
        <f t="shared" ref="K3:K66" si="2">TEXT(F3,"mmm")</f>
        <v>Aug</v>
      </c>
      <c r="L3" s="1">
        <f t="shared" ref="L3:L66" si="3">H3-F3</f>
        <v>24</v>
      </c>
      <c r="M3" s="1">
        <v>2804</v>
      </c>
      <c r="N3" s="31">
        <v>205.7</v>
      </c>
      <c r="O3" s="31">
        <v>117.11</v>
      </c>
      <c r="P3" s="30">
        <v>576782.80000000005</v>
      </c>
      <c r="Q3" s="30">
        <v>328376.44</v>
      </c>
      <c r="R3" s="30">
        <v>248406.36</v>
      </c>
      <c r="V3" s="5"/>
      <c r="Z3" s="6"/>
    </row>
    <row r="4" spans="1:171" x14ac:dyDescent="0.3">
      <c r="A4" t="s">
        <v>22</v>
      </c>
      <c r="B4" t="s">
        <v>23</v>
      </c>
      <c r="C4" t="s">
        <v>24</v>
      </c>
      <c r="D4" t="s">
        <v>119</v>
      </c>
      <c r="E4" t="s">
        <v>112</v>
      </c>
      <c r="F4" s="12">
        <v>41761</v>
      </c>
      <c r="G4" s="1">
        <v>341417157</v>
      </c>
      <c r="H4" s="12">
        <v>41767</v>
      </c>
      <c r="I4" s="1">
        <f t="shared" si="0"/>
        <v>2014</v>
      </c>
      <c r="J4" s="1">
        <f t="shared" si="1"/>
        <v>5</v>
      </c>
      <c r="K4" s="1" t="str">
        <f t="shared" si="2"/>
        <v>May</v>
      </c>
      <c r="L4" s="1">
        <f t="shared" si="3"/>
        <v>6</v>
      </c>
      <c r="M4" s="1">
        <v>1779</v>
      </c>
      <c r="N4" s="31">
        <v>651.21</v>
      </c>
      <c r="O4" s="31">
        <v>524.96</v>
      </c>
      <c r="P4" s="30">
        <v>1158502.5900000001</v>
      </c>
      <c r="Q4" s="30">
        <v>933903.84</v>
      </c>
      <c r="R4" s="30">
        <v>224598.75</v>
      </c>
      <c r="V4" s="5"/>
      <c r="Z4" s="6"/>
    </row>
    <row r="5" spans="1:171" x14ac:dyDescent="0.3">
      <c r="A5" t="s">
        <v>25</v>
      </c>
      <c r="B5" t="s">
        <v>26</v>
      </c>
      <c r="C5" t="s">
        <v>27</v>
      </c>
      <c r="D5" t="s">
        <v>120</v>
      </c>
      <c r="E5" t="s">
        <v>111</v>
      </c>
      <c r="F5" s="12">
        <v>41810</v>
      </c>
      <c r="G5" s="1">
        <v>514321792</v>
      </c>
      <c r="H5" s="12">
        <v>41825</v>
      </c>
      <c r="I5" s="1">
        <f t="shared" si="0"/>
        <v>2014</v>
      </c>
      <c r="J5" s="1">
        <f t="shared" si="1"/>
        <v>6</v>
      </c>
      <c r="K5" s="1" t="str">
        <f t="shared" si="2"/>
        <v>Jun</v>
      </c>
      <c r="L5" s="1">
        <f t="shared" si="3"/>
        <v>15</v>
      </c>
      <c r="M5" s="1">
        <v>8102</v>
      </c>
      <c r="N5" s="31">
        <v>9.33</v>
      </c>
      <c r="O5" s="31">
        <v>6.92</v>
      </c>
      <c r="P5" s="30">
        <v>75591.66</v>
      </c>
      <c r="Q5" s="30">
        <v>56065.84</v>
      </c>
      <c r="R5" s="30">
        <v>19525.82</v>
      </c>
      <c r="V5" s="5"/>
      <c r="Z5" s="6"/>
    </row>
    <row r="6" spans="1:171" x14ac:dyDescent="0.3">
      <c r="A6" t="s">
        <v>25</v>
      </c>
      <c r="B6" t="s">
        <v>28</v>
      </c>
      <c r="C6" t="s">
        <v>24</v>
      </c>
      <c r="D6" t="s">
        <v>119</v>
      </c>
      <c r="E6" t="s">
        <v>112</v>
      </c>
      <c r="F6" s="12">
        <v>41306</v>
      </c>
      <c r="G6" s="1">
        <v>115456712</v>
      </c>
      <c r="H6" s="12">
        <v>41311</v>
      </c>
      <c r="I6" s="1">
        <f t="shared" si="0"/>
        <v>2013</v>
      </c>
      <c r="J6" s="1">
        <f t="shared" si="1"/>
        <v>2</v>
      </c>
      <c r="K6" s="1" t="str">
        <f t="shared" si="2"/>
        <v>Feb</v>
      </c>
      <c r="L6" s="1">
        <f t="shared" si="3"/>
        <v>5</v>
      </c>
      <c r="M6" s="1">
        <v>5062</v>
      </c>
      <c r="N6" s="31">
        <v>651.21</v>
      </c>
      <c r="O6" s="31">
        <v>524.96</v>
      </c>
      <c r="P6" s="30">
        <v>3296425.02</v>
      </c>
      <c r="Q6" s="30">
        <v>2657347.52</v>
      </c>
      <c r="R6" s="30">
        <v>639077.5</v>
      </c>
      <c r="V6" s="5"/>
      <c r="Z6" s="6"/>
    </row>
    <row r="7" spans="1:171" x14ac:dyDescent="0.3">
      <c r="A7" t="s">
        <v>14</v>
      </c>
      <c r="B7" t="s">
        <v>29</v>
      </c>
      <c r="C7" t="s">
        <v>16</v>
      </c>
      <c r="D7" t="s">
        <v>120</v>
      </c>
      <c r="E7" t="s">
        <v>111</v>
      </c>
      <c r="F7" s="12">
        <v>42039</v>
      </c>
      <c r="G7" s="1">
        <v>547995746</v>
      </c>
      <c r="H7" s="12">
        <v>42056</v>
      </c>
      <c r="I7" s="1">
        <f t="shared" si="0"/>
        <v>2015</v>
      </c>
      <c r="J7" s="1">
        <f t="shared" si="1"/>
        <v>2</v>
      </c>
      <c r="K7" s="1" t="str">
        <f t="shared" si="2"/>
        <v>Feb</v>
      </c>
      <c r="L7" s="1">
        <f t="shared" si="3"/>
        <v>17</v>
      </c>
      <c r="M7" s="1">
        <v>2974</v>
      </c>
      <c r="N7" s="31">
        <v>255.28</v>
      </c>
      <c r="O7" s="31">
        <v>159.41999999999999</v>
      </c>
      <c r="P7" s="30">
        <v>759202.72</v>
      </c>
      <c r="Q7" s="30">
        <v>474115.08</v>
      </c>
      <c r="R7" s="30">
        <v>285087.64</v>
      </c>
      <c r="V7" s="5"/>
      <c r="Z7" s="6"/>
    </row>
    <row r="8" spans="1:171" x14ac:dyDescent="0.3">
      <c r="A8" t="s">
        <v>25</v>
      </c>
      <c r="B8" t="s">
        <v>30</v>
      </c>
      <c r="C8" t="s">
        <v>31</v>
      </c>
      <c r="D8" t="s">
        <v>119</v>
      </c>
      <c r="E8" t="s">
        <v>114</v>
      </c>
      <c r="F8" s="12">
        <v>40656</v>
      </c>
      <c r="G8" s="1">
        <v>135425221</v>
      </c>
      <c r="H8" s="12">
        <v>40660</v>
      </c>
      <c r="I8" s="1">
        <f t="shared" si="0"/>
        <v>2011</v>
      </c>
      <c r="J8" s="1">
        <f t="shared" si="1"/>
        <v>4</v>
      </c>
      <c r="K8" s="1" t="str">
        <f t="shared" si="2"/>
        <v>Apr</v>
      </c>
      <c r="L8" s="1">
        <f t="shared" si="3"/>
        <v>4</v>
      </c>
      <c r="M8" s="1">
        <v>4187</v>
      </c>
      <c r="N8" s="31">
        <v>668.27</v>
      </c>
      <c r="O8" s="31">
        <v>502.54</v>
      </c>
      <c r="P8" s="30">
        <v>2798046.49</v>
      </c>
      <c r="Q8" s="30">
        <v>2104134.98</v>
      </c>
      <c r="R8" s="30">
        <v>693911.51</v>
      </c>
      <c r="V8" s="5"/>
      <c r="Z8" s="6"/>
    </row>
    <row r="9" spans="1:171" x14ac:dyDescent="0.3">
      <c r="A9" t="s">
        <v>25</v>
      </c>
      <c r="B9" t="s">
        <v>32</v>
      </c>
      <c r="C9" t="s">
        <v>33</v>
      </c>
      <c r="D9" t="s">
        <v>120</v>
      </c>
      <c r="E9" t="s">
        <v>113</v>
      </c>
      <c r="F9" s="12">
        <v>41107</v>
      </c>
      <c r="G9" s="1">
        <v>871543967</v>
      </c>
      <c r="H9" s="12">
        <v>41117</v>
      </c>
      <c r="I9" s="1">
        <f t="shared" si="0"/>
        <v>2012</v>
      </c>
      <c r="J9" s="1">
        <f t="shared" si="1"/>
        <v>7</v>
      </c>
      <c r="K9" s="1" t="str">
        <f t="shared" si="2"/>
        <v>Jul</v>
      </c>
      <c r="L9" s="1">
        <f t="shared" si="3"/>
        <v>10</v>
      </c>
      <c r="M9" s="1">
        <v>8082</v>
      </c>
      <c r="N9" s="31">
        <v>154.06</v>
      </c>
      <c r="O9" s="31">
        <v>90.93</v>
      </c>
      <c r="P9" s="30">
        <v>1245112.92</v>
      </c>
      <c r="Q9" s="30">
        <v>734896.26</v>
      </c>
      <c r="R9" s="30">
        <v>510216.66</v>
      </c>
    </row>
    <row r="10" spans="1:171" x14ac:dyDescent="0.3">
      <c r="A10" t="s">
        <v>25</v>
      </c>
      <c r="B10" t="s">
        <v>34</v>
      </c>
      <c r="C10" t="s">
        <v>35</v>
      </c>
      <c r="D10" t="s">
        <v>119</v>
      </c>
      <c r="E10" t="s">
        <v>114</v>
      </c>
      <c r="F10" s="12">
        <v>42199</v>
      </c>
      <c r="G10" s="1">
        <v>770463311</v>
      </c>
      <c r="H10" s="12">
        <v>42241</v>
      </c>
      <c r="I10" s="1">
        <f t="shared" si="0"/>
        <v>2015</v>
      </c>
      <c r="J10" s="1">
        <f t="shared" si="1"/>
        <v>7</v>
      </c>
      <c r="K10" s="1" t="str">
        <f t="shared" si="2"/>
        <v>Jul</v>
      </c>
      <c r="L10" s="1">
        <f t="shared" si="3"/>
        <v>42</v>
      </c>
      <c r="M10" s="1">
        <v>6070</v>
      </c>
      <c r="N10" s="31">
        <v>81.73</v>
      </c>
      <c r="O10" s="31">
        <v>56.67</v>
      </c>
      <c r="P10" s="30">
        <v>496101.1</v>
      </c>
      <c r="Q10" s="30">
        <v>343986.9</v>
      </c>
      <c r="R10" s="30">
        <v>152114.20000000001</v>
      </c>
    </row>
    <row r="11" spans="1:171" x14ac:dyDescent="0.3">
      <c r="A11" t="s">
        <v>25</v>
      </c>
      <c r="B11" t="s">
        <v>36</v>
      </c>
      <c r="C11" t="s">
        <v>20</v>
      </c>
      <c r="D11" t="s">
        <v>120</v>
      </c>
      <c r="E11" t="s">
        <v>113</v>
      </c>
      <c r="F11" s="12">
        <v>41747</v>
      </c>
      <c r="G11" s="1">
        <v>616607081</v>
      </c>
      <c r="H11" s="12">
        <v>41789</v>
      </c>
      <c r="I11" s="1">
        <f t="shared" si="0"/>
        <v>2014</v>
      </c>
      <c r="J11" s="1">
        <f t="shared" si="1"/>
        <v>4</v>
      </c>
      <c r="K11" s="1" t="str">
        <f t="shared" si="2"/>
        <v>Apr</v>
      </c>
      <c r="L11" s="1">
        <f t="shared" si="3"/>
        <v>42</v>
      </c>
      <c r="M11" s="1">
        <v>6593</v>
      </c>
      <c r="N11" s="31">
        <v>205.7</v>
      </c>
      <c r="O11" s="31">
        <v>117.11</v>
      </c>
      <c r="P11" s="30">
        <v>1356180.1</v>
      </c>
      <c r="Q11" s="30">
        <v>772106.23</v>
      </c>
      <c r="R11" s="30">
        <v>584073.87</v>
      </c>
    </row>
    <row r="12" spans="1:171" x14ac:dyDescent="0.3">
      <c r="A12" t="s">
        <v>37</v>
      </c>
      <c r="B12" t="s">
        <v>38</v>
      </c>
      <c r="C12" t="s">
        <v>33</v>
      </c>
      <c r="D12" t="s">
        <v>120</v>
      </c>
      <c r="E12" t="s">
        <v>113</v>
      </c>
      <c r="F12" s="12">
        <v>40718</v>
      </c>
      <c r="G12" s="1">
        <v>814711606</v>
      </c>
      <c r="H12" s="12">
        <v>40736</v>
      </c>
      <c r="I12" s="1">
        <f t="shared" si="0"/>
        <v>2011</v>
      </c>
      <c r="J12" s="1">
        <f t="shared" si="1"/>
        <v>6</v>
      </c>
      <c r="K12" s="1" t="str">
        <f t="shared" si="2"/>
        <v>Jun</v>
      </c>
      <c r="L12" s="1">
        <f t="shared" si="3"/>
        <v>18</v>
      </c>
      <c r="M12" s="1">
        <v>124</v>
      </c>
      <c r="N12" s="31">
        <v>154.06</v>
      </c>
      <c r="O12" s="31">
        <v>90.93</v>
      </c>
      <c r="P12" s="30">
        <v>19103.439999999999</v>
      </c>
      <c r="Q12" s="30">
        <v>11275.32</v>
      </c>
      <c r="R12" s="30">
        <v>7828.12</v>
      </c>
    </row>
    <row r="13" spans="1:171" x14ac:dyDescent="0.3">
      <c r="A13" t="s">
        <v>25</v>
      </c>
      <c r="B13" t="s">
        <v>39</v>
      </c>
      <c r="C13" t="s">
        <v>40</v>
      </c>
      <c r="D13" t="s">
        <v>119</v>
      </c>
      <c r="E13" t="s">
        <v>113</v>
      </c>
      <c r="F13" s="12">
        <v>41853</v>
      </c>
      <c r="G13" s="1">
        <v>939825713</v>
      </c>
      <c r="H13" s="12">
        <v>41870</v>
      </c>
      <c r="I13" s="1">
        <f t="shared" si="0"/>
        <v>2014</v>
      </c>
      <c r="J13" s="1">
        <f t="shared" si="1"/>
        <v>8</v>
      </c>
      <c r="K13" s="1" t="str">
        <f t="shared" si="2"/>
        <v>Aug</v>
      </c>
      <c r="L13" s="1">
        <f t="shared" si="3"/>
        <v>17</v>
      </c>
      <c r="M13" s="1">
        <v>4168</v>
      </c>
      <c r="N13" s="31">
        <v>109.28</v>
      </c>
      <c r="O13" s="31">
        <v>35.840000000000003</v>
      </c>
      <c r="P13" s="30">
        <v>455479.03999999998</v>
      </c>
      <c r="Q13" s="30">
        <v>149381.12</v>
      </c>
      <c r="R13" s="30">
        <v>306097.91999999998</v>
      </c>
    </row>
    <row r="14" spans="1:171" x14ac:dyDescent="0.3">
      <c r="A14" t="s">
        <v>37</v>
      </c>
      <c r="B14" t="s">
        <v>41</v>
      </c>
      <c r="C14" t="s">
        <v>40</v>
      </c>
      <c r="D14" t="s">
        <v>120</v>
      </c>
      <c r="E14" t="s">
        <v>112</v>
      </c>
      <c r="F14" s="12">
        <v>42748</v>
      </c>
      <c r="G14" s="1">
        <v>187310731</v>
      </c>
      <c r="H14" s="12">
        <v>42795</v>
      </c>
      <c r="I14" s="1">
        <f t="shared" si="0"/>
        <v>2017</v>
      </c>
      <c r="J14" s="1">
        <f t="shared" si="1"/>
        <v>1</v>
      </c>
      <c r="K14" s="1" t="str">
        <f t="shared" si="2"/>
        <v>Jan</v>
      </c>
      <c r="L14" s="1">
        <f t="shared" si="3"/>
        <v>47</v>
      </c>
      <c r="M14" s="1">
        <v>8263</v>
      </c>
      <c r="N14" s="31">
        <v>109.28</v>
      </c>
      <c r="O14" s="31">
        <v>35.840000000000003</v>
      </c>
      <c r="P14" s="30">
        <v>902980.64</v>
      </c>
      <c r="Q14" s="30">
        <v>296145.91999999998</v>
      </c>
      <c r="R14" s="30">
        <v>606834.72</v>
      </c>
    </row>
    <row r="15" spans="1:171" x14ac:dyDescent="0.3">
      <c r="A15" t="s">
        <v>18</v>
      </c>
      <c r="B15" t="s">
        <v>42</v>
      </c>
      <c r="C15" t="s">
        <v>31</v>
      </c>
      <c r="D15" t="s">
        <v>119</v>
      </c>
      <c r="E15" t="s">
        <v>113</v>
      </c>
      <c r="F15" s="12">
        <v>42774</v>
      </c>
      <c r="G15" s="1">
        <v>522840487</v>
      </c>
      <c r="H15" s="12">
        <v>42779</v>
      </c>
      <c r="I15" s="1">
        <f t="shared" si="0"/>
        <v>2017</v>
      </c>
      <c r="J15" s="1">
        <f t="shared" si="1"/>
        <v>2</v>
      </c>
      <c r="K15" s="1" t="str">
        <f t="shared" si="2"/>
        <v>Feb</v>
      </c>
      <c r="L15" s="1">
        <f t="shared" si="3"/>
        <v>5</v>
      </c>
      <c r="M15" s="1">
        <v>8974</v>
      </c>
      <c r="N15" s="31">
        <v>668.27</v>
      </c>
      <c r="O15" s="31">
        <v>502.54</v>
      </c>
      <c r="P15" s="30">
        <v>5997054.9800000004</v>
      </c>
      <c r="Q15" s="30">
        <v>4509793.96</v>
      </c>
      <c r="R15" s="30">
        <v>1487261.02</v>
      </c>
    </row>
    <row r="16" spans="1:171" x14ac:dyDescent="0.3">
      <c r="A16" t="s">
        <v>37</v>
      </c>
      <c r="B16" t="s">
        <v>43</v>
      </c>
      <c r="C16" t="s">
        <v>35</v>
      </c>
      <c r="D16" t="s">
        <v>119</v>
      </c>
      <c r="E16" t="s">
        <v>111</v>
      </c>
      <c r="F16" s="12">
        <v>41689</v>
      </c>
      <c r="G16" s="1">
        <v>832401311</v>
      </c>
      <c r="H16" s="12">
        <v>41693</v>
      </c>
      <c r="I16" s="1">
        <f t="shared" si="0"/>
        <v>2014</v>
      </c>
      <c r="J16" s="1">
        <f t="shared" si="1"/>
        <v>2</v>
      </c>
      <c r="K16" s="1" t="str">
        <f t="shared" si="2"/>
        <v>Feb</v>
      </c>
      <c r="L16" s="1">
        <f t="shared" si="3"/>
        <v>4</v>
      </c>
      <c r="M16" s="1">
        <v>4901</v>
      </c>
      <c r="N16" s="31">
        <v>81.73</v>
      </c>
      <c r="O16" s="31">
        <v>56.67</v>
      </c>
      <c r="P16" s="30">
        <v>400558.73</v>
      </c>
      <c r="Q16" s="30">
        <v>277739.67</v>
      </c>
      <c r="R16" s="30">
        <v>122819.06</v>
      </c>
    </row>
    <row r="17" spans="1:18" x14ac:dyDescent="0.3">
      <c r="A17" t="s">
        <v>22</v>
      </c>
      <c r="B17" t="s">
        <v>44</v>
      </c>
      <c r="C17" t="s">
        <v>40</v>
      </c>
      <c r="D17" t="s">
        <v>120</v>
      </c>
      <c r="E17" t="s">
        <v>114</v>
      </c>
      <c r="F17" s="12">
        <v>41022</v>
      </c>
      <c r="G17" s="1">
        <v>972292029</v>
      </c>
      <c r="H17" s="12">
        <v>41063</v>
      </c>
      <c r="I17" s="1">
        <f t="shared" si="0"/>
        <v>2012</v>
      </c>
      <c r="J17" s="1">
        <f t="shared" si="1"/>
        <v>4</v>
      </c>
      <c r="K17" s="1" t="str">
        <f t="shared" si="2"/>
        <v>Apr</v>
      </c>
      <c r="L17" s="1">
        <f t="shared" si="3"/>
        <v>41</v>
      </c>
      <c r="M17" s="1">
        <v>1673</v>
      </c>
      <c r="N17" s="31">
        <v>109.28</v>
      </c>
      <c r="O17" s="31">
        <v>35.840000000000003</v>
      </c>
      <c r="P17" s="30">
        <v>182825.44</v>
      </c>
      <c r="Q17" s="30">
        <v>59960.32</v>
      </c>
      <c r="R17" s="30">
        <v>122865.12</v>
      </c>
    </row>
    <row r="18" spans="1:18" x14ac:dyDescent="0.3">
      <c r="A18" t="s">
        <v>37</v>
      </c>
      <c r="B18" t="s">
        <v>45</v>
      </c>
      <c r="C18" t="s">
        <v>46</v>
      </c>
      <c r="D18" t="s">
        <v>119</v>
      </c>
      <c r="E18" t="s">
        <v>114</v>
      </c>
      <c r="F18" s="12">
        <v>42693</v>
      </c>
      <c r="G18" s="1">
        <v>419123971</v>
      </c>
      <c r="H18" s="12">
        <v>42722</v>
      </c>
      <c r="I18" s="1">
        <f t="shared" si="0"/>
        <v>2016</v>
      </c>
      <c r="J18" s="1">
        <f t="shared" si="1"/>
        <v>11</v>
      </c>
      <c r="K18" s="1" t="str">
        <f t="shared" si="2"/>
        <v>Nov</v>
      </c>
      <c r="L18" s="1">
        <f t="shared" si="3"/>
        <v>29</v>
      </c>
      <c r="M18" s="1">
        <v>6952</v>
      </c>
      <c r="N18" s="31">
        <v>437.2</v>
      </c>
      <c r="O18" s="31">
        <v>263.33</v>
      </c>
      <c r="P18" s="30">
        <v>3039414.4</v>
      </c>
      <c r="Q18" s="30">
        <v>1830670.16</v>
      </c>
      <c r="R18" s="30">
        <v>1208744.24</v>
      </c>
    </row>
    <row r="19" spans="1:18" x14ac:dyDescent="0.3">
      <c r="A19" t="s">
        <v>25</v>
      </c>
      <c r="B19" t="s">
        <v>47</v>
      </c>
      <c r="C19" t="s">
        <v>48</v>
      </c>
      <c r="D19" t="s">
        <v>119</v>
      </c>
      <c r="E19" t="s">
        <v>111</v>
      </c>
      <c r="F19" s="12">
        <v>42095</v>
      </c>
      <c r="G19" s="1">
        <v>519820964</v>
      </c>
      <c r="H19" s="12">
        <v>42112</v>
      </c>
      <c r="I19" s="1">
        <f t="shared" si="0"/>
        <v>2015</v>
      </c>
      <c r="J19" s="1">
        <f t="shared" si="1"/>
        <v>4</v>
      </c>
      <c r="K19" s="1" t="str">
        <f t="shared" si="2"/>
        <v>Apr</v>
      </c>
      <c r="L19" s="1">
        <f t="shared" si="3"/>
        <v>17</v>
      </c>
      <c r="M19" s="1">
        <v>5430</v>
      </c>
      <c r="N19" s="31">
        <v>47.45</v>
      </c>
      <c r="O19" s="31">
        <v>31.79</v>
      </c>
      <c r="P19" s="30">
        <v>257653.5</v>
      </c>
      <c r="Q19" s="30">
        <v>172619.7</v>
      </c>
      <c r="R19" s="30">
        <v>85033.8</v>
      </c>
    </row>
    <row r="20" spans="1:18" x14ac:dyDescent="0.3">
      <c r="A20" t="s">
        <v>37</v>
      </c>
      <c r="B20" t="s">
        <v>49</v>
      </c>
      <c r="C20" t="s">
        <v>31</v>
      </c>
      <c r="D20" t="s">
        <v>119</v>
      </c>
      <c r="E20" t="s">
        <v>112</v>
      </c>
      <c r="F20" s="12">
        <v>40542</v>
      </c>
      <c r="G20" s="1">
        <v>441619336</v>
      </c>
      <c r="H20" s="12">
        <v>40563</v>
      </c>
      <c r="I20" s="1">
        <f t="shared" si="0"/>
        <v>2010</v>
      </c>
      <c r="J20" s="1">
        <f t="shared" si="1"/>
        <v>12</v>
      </c>
      <c r="K20" s="1" t="str">
        <f t="shared" si="2"/>
        <v>Dec</v>
      </c>
      <c r="L20" s="1">
        <f t="shared" si="3"/>
        <v>21</v>
      </c>
      <c r="M20" s="1">
        <v>3830</v>
      </c>
      <c r="N20" s="31">
        <v>668.27</v>
      </c>
      <c r="O20" s="31">
        <v>502.54</v>
      </c>
      <c r="P20" s="30">
        <v>2559474.1</v>
      </c>
      <c r="Q20" s="30">
        <v>1924728.2</v>
      </c>
      <c r="R20" s="30">
        <v>634745.9</v>
      </c>
    </row>
    <row r="21" spans="1:18" x14ac:dyDescent="0.3">
      <c r="A21" t="s">
        <v>14</v>
      </c>
      <c r="B21" t="s">
        <v>50</v>
      </c>
      <c r="C21" t="s">
        <v>51</v>
      </c>
      <c r="D21" t="s">
        <v>120</v>
      </c>
      <c r="E21" t="s">
        <v>112</v>
      </c>
      <c r="F21" s="12">
        <v>41121</v>
      </c>
      <c r="G21" s="1">
        <v>322067916</v>
      </c>
      <c r="H21" s="12">
        <v>41163</v>
      </c>
      <c r="I21" s="1">
        <f t="shared" si="0"/>
        <v>2012</v>
      </c>
      <c r="J21" s="1">
        <f t="shared" si="1"/>
        <v>7</v>
      </c>
      <c r="K21" s="1" t="str">
        <f t="shared" si="2"/>
        <v>Jul</v>
      </c>
      <c r="L21" s="1">
        <f t="shared" si="3"/>
        <v>42</v>
      </c>
      <c r="M21" s="1">
        <v>5908</v>
      </c>
      <c r="N21" s="31">
        <v>421.89</v>
      </c>
      <c r="O21" s="31">
        <v>364.69</v>
      </c>
      <c r="P21" s="30">
        <v>2492526.12</v>
      </c>
      <c r="Q21" s="30">
        <v>2154588.52</v>
      </c>
      <c r="R21" s="30">
        <v>337937.6</v>
      </c>
    </row>
    <row r="22" spans="1:18" x14ac:dyDescent="0.3">
      <c r="A22" t="s">
        <v>22</v>
      </c>
      <c r="B22" t="s">
        <v>52</v>
      </c>
      <c r="C22" t="s">
        <v>16</v>
      </c>
      <c r="D22" t="s">
        <v>120</v>
      </c>
      <c r="E22" t="s">
        <v>112</v>
      </c>
      <c r="F22" s="12">
        <v>41773</v>
      </c>
      <c r="G22" s="1">
        <v>819028031</v>
      </c>
      <c r="H22" s="12">
        <v>41818</v>
      </c>
      <c r="I22" s="1">
        <f t="shared" si="0"/>
        <v>2014</v>
      </c>
      <c r="J22" s="1">
        <f t="shared" si="1"/>
        <v>5</v>
      </c>
      <c r="K22" s="1" t="str">
        <f t="shared" si="2"/>
        <v>May</v>
      </c>
      <c r="L22" s="1">
        <f t="shared" si="3"/>
        <v>45</v>
      </c>
      <c r="M22" s="1">
        <v>7450</v>
      </c>
      <c r="N22" s="31">
        <v>255.28</v>
      </c>
      <c r="O22" s="31">
        <v>159.41999999999999</v>
      </c>
      <c r="P22" s="30">
        <v>1901836</v>
      </c>
      <c r="Q22" s="30">
        <v>1187679</v>
      </c>
      <c r="R22" s="30">
        <v>714157</v>
      </c>
    </row>
    <row r="23" spans="1:18" x14ac:dyDescent="0.3">
      <c r="A23" t="s">
        <v>22</v>
      </c>
      <c r="B23" t="s">
        <v>53</v>
      </c>
      <c r="C23" t="s">
        <v>16</v>
      </c>
      <c r="D23" t="s">
        <v>120</v>
      </c>
      <c r="E23" t="s">
        <v>113</v>
      </c>
      <c r="F23" s="12">
        <v>42216</v>
      </c>
      <c r="G23" s="1">
        <v>860673511</v>
      </c>
      <c r="H23" s="12">
        <v>42250</v>
      </c>
      <c r="I23" s="1">
        <f t="shared" si="0"/>
        <v>2015</v>
      </c>
      <c r="J23" s="1">
        <f t="shared" si="1"/>
        <v>7</v>
      </c>
      <c r="K23" s="1" t="str">
        <f t="shared" si="2"/>
        <v>Jul</v>
      </c>
      <c r="L23" s="1">
        <f t="shared" si="3"/>
        <v>34</v>
      </c>
      <c r="M23" s="1">
        <v>1273</v>
      </c>
      <c r="N23" s="31">
        <v>255.28</v>
      </c>
      <c r="O23" s="31">
        <v>159.41999999999999</v>
      </c>
      <c r="P23" s="30">
        <v>324971.44</v>
      </c>
      <c r="Q23" s="30">
        <v>202941.66</v>
      </c>
      <c r="R23" s="30">
        <v>122029.78</v>
      </c>
    </row>
    <row r="24" spans="1:18" x14ac:dyDescent="0.3">
      <c r="A24" t="s">
        <v>18</v>
      </c>
      <c r="B24" t="s">
        <v>42</v>
      </c>
      <c r="C24" t="s">
        <v>54</v>
      </c>
      <c r="D24" t="s">
        <v>120</v>
      </c>
      <c r="E24" t="s">
        <v>112</v>
      </c>
      <c r="F24" s="12">
        <v>42551</v>
      </c>
      <c r="G24" s="1">
        <v>795490682</v>
      </c>
      <c r="H24" s="12">
        <v>42577</v>
      </c>
      <c r="I24" s="1">
        <f t="shared" si="0"/>
        <v>2016</v>
      </c>
      <c r="J24" s="1">
        <f t="shared" si="1"/>
        <v>6</v>
      </c>
      <c r="K24" s="1" t="str">
        <f t="shared" si="2"/>
        <v>Jun</v>
      </c>
      <c r="L24" s="1">
        <f t="shared" si="3"/>
        <v>26</v>
      </c>
      <c r="M24" s="1">
        <v>2225</v>
      </c>
      <c r="N24" s="31">
        <v>152.58000000000001</v>
      </c>
      <c r="O24" s="31">
        <v>97.44</v>
      </c>
      <c r="P24" s="30">
        <v>339490.5</v>
      </c>
      <c r="Q24" s="30">
        <v>216804</v>
      </c>
      <c r="R24" s="30">
        <v>122686.5</v>
      </c>
    </row>
    <row r="25" spans="1:18" x14ac:dyDescent="0.3">
      <c r="A25" t="s">
        <v>14</v>
      </c>
      <c r="B25" t="s">
        <v>55</v>
      </c>
      <c r="C25" t="s">
        <v>27</v>
      </c>
      <c r="D25" t="s">
        <v>120</v>
      </c>
      <c r="E25" t="s">
        <v>113</v>
      </c>
      <c r="F25" s="12">
        <v>41890</v>
      </c>
      <c r="G25" s="1">
        <v>142278373</v>
      </c>
      <c r="H25" s="12">
        <v>41916</v>
      </c>
      <c r="I25" s="1">
        <f t="shared" si="0"/>
        <v>2014</v>
      </c>
      <c r="J25" s="1">
        <f t="shared" si="1"/>
        <v>9</v>
      </c>
      <c r="K25" s="1" t="str">
        <f t="shared" si="2"/>
        <v>Sep</v>
      </c>
      <c r="L25" s="1">
        <f t="shared" si="3"/>
        <v>26</v>
      </c>
      <c r="M25" s="1">
        <v>2187</v>
      </c>
      <c r="N25" s="31">
        <v>9.33</v>
      </c>
      <c r="O25" s="31">
        <v>6.92</v>
      </c>
      <c r="P25" s="30">
        <v>20404.71</v>
      </c>
      <c r="Q25" s="30">
        <v>15134.04</v>
      </c>
      <c r="R25" s="30">
        <v>5270.67</v>
      </c>
    </row>
    <row r="26" spans="1:18" x14ac:dyDescent="0.3">
      <c r="A26" t="s">
        <v>22</v>
      </c>
      <c r="B26" t="s">
        <v>56</v>
      </c>
      <c r="C26" t="s">
        <v>35</v>
      </c>
      <c r="D26" t="s">
        <v>120</v>
      </c>
      <c r="E26" t="s">
        <v>112</v>
      </c>
      <c r="F26" s="12">
        <v>42497</v>
      </c>
      <c r="G26" s="1">
        <v>740147912</v>
      </c>
      <c r="H26" s="12">
        <v>42500</v>
      </c>
      <c r="I26" s="1">
        <f t="shared" si="0"/>
        <v>2016</v>
      </c>
      <c r="J26" s="1">
        <f t="shared" si="1"/>
        <v>5</v>
      </c>
      <c r="K26" s="1" t="str">
        <f t="shared" si="2"/>
        <v>May</v>
      </c>
      <c r="L26" s="1">
        <f t="shared" si="3"/>
        <v>3</v>
      </c>
      <c r="M26" s="1">
        <v>5070</v>
      </c>
      <c r="N26" s="31">
        <v>81.73</v>
      </c>
      <c r="O26" s="31">
        <v>56.67</v>
      </c>
      <c r="P26" s="30">
        <v>414371.1</v>
      </c>
      <c r="Q26" s="30">
        <v>287316.90000000002</v>
      </c>
      <c r="R26" s="30">
        <v>127054.2</v>
      </c>
    </row>
    <row r="27" spans="1:18" x14ac:dyDescent="0.3">
      <c r="A27" t="s">
        <v>22</v>
      </c>
      <c r="B27" t="s">
        <v>57</v>
      </c>
      <c r="C27" t="s">
        <v>46</v>
      </c>
      <c r="D27" t="s">
        <v>120</v>
      </c>
      <c r="E27" t="s">
        <v>113</v>
      </c>
      <c r="F27" s="12">
        <v>42877</v>
      </c>
      <c r="G27" s="1">
        <v>898523128</v>
      </c>
      <c r="H27" s="12">
        <v>42891</v>
      </c>
      <c r="I27" s="1">
        <f t="shared" si="0"/>
        <v>2017</v>
      </c>
      <c r="J27" s="1">
        <f t="shared" si="1"/>
        <v>5</v>
      </c>
      <c r="K27" s="1" t="str">
        <f t="shared" si="2"/>
        <v>May</v>
      </c>
      <c r="L27" s="1">
        <f t="shared" si="3"/>
        <v>14</v>
      </c>
      <c r="M27" s="1">
        <v>1815</v>
      </c>
      <c r="N27" s="31">
        <v>437.2</v>
      </c>
      <c r="O27" s="31">
        <v>263.33</v>
      </c>
      <c r="P27" s="30">
        <v>793518</v>
      </c>
      <c r="Q27" s="30">
        <v>477943.95</v>
      </c>
      <c r="R27" s="30">
        <v>315574.05</v>
      </c>
    </row>
    <row r="28" spans="1:18" x14ac:dyDescent="0.3">
      <c r="A28" t="s">
        <v>14</v>
      </c>
      <c r="B28" t="s">
        <v>58</v>
      </c>
      <c r="C28" t="s">
        <v>27</v>
      </c>
      <c r="D28" t="s">
        <v>120</v>
      </c>
      <c r="E28" t="s">
        <v>114</v>
      </c>
      <c r="F28" s="12">
        <v>41925</v>
      </c>
      <c r="G28" s="1">
        <v>347140347</v>
      </c>
      <c r="H28" s="12">
        <v>41953</v>
      </c>
      <c r="I28" s="1">
        <f t="shared" si="0"/>
        <v>2014</v>
      </c>
      <c r="J28" s="1">
        <f t="shared" si="1"/>
        <v>10</v>
      </c>
      <c r="K28" s="1" t="str">
        <f t="shared" si="2"/>
        <v>Oct</v>
      </c>
      <c r="L28" s="1">
        <f t="shared" si="3"/>
        <v>28</v>
      </c>
      <c r="M28" s="1">
        <v>5398</v>
      </c>
      <c r="N28" s="31">
        <v>9.33</v>
      </c>
      <c r="O28" s="31">
        <v>6.92</v>
      </c>
      <c r="P28" s="30">
        <v>50363.34</v>
      </c>
      <c r="Q28" s="30">
        <v>37354.160000000003</v>
      </c>
      <c r="R28" s="30">
        <v>13009.18</v>
      </c>
    </row>
    <row r="29" spans="1:18" x14ac:dyDescent="0.3">
      <c r="A29" t="s">
        <v>25</v>
      </c>
      <c r="B29" t="s">
        <v>59</v>
      </c>
      <c r="C29" t="s">
        <v>27</v>
      </c>
      <c r="D29" t="s">
        <v>120</v>
      </c>
      <c r="E29" t="s">
        <v>112</v>
      </c>
      <c r="F29" s="12">
        <v>40305</v>
      </c>
      <c r="G29" s="1">
        <v>686048400</v>
      </c>
      <c r="H29" s="12">
        <v>40308</v>
      </c>
      <c r="I29" s="1">
        <f t="shared" si="0"/>
        <v>2010</v>
      </c>
      <c r="J29" s="1">
        <f t="shared" si="1"/>
        <v>5</v>
      </c>
      <c r="K29" s="1" t="str">
        <f t="shared" si="2"/>
        <v>May</v>
      </c>
      <c r="L29" s="1">
        <f t="shared" si="3"/>
        <v>3</v>
      </c>
      <c r="M29" s="1">
        <v>5822</v>
      </c>
      <c r="N29" s="31">
        <v>9.33</v>
      </c>
      <c r="O29" s="31">
        <v>6.92</v>
      </c>
      <c r="P29" s="30">
        <v>54319.26</v>
      </c>
      <c r="Q29" s="30">
        <v>40288.239999999998</v>
      </c>
      <c r="R29" s="30">
        <v>14031.02</v>
      </c>
    </row>
    <row r="30" spans="1:18" x14ac:dyDescent="0.3">
      <c r="A30" t="s">
        <v>22</v>
      </c>
      <c r="B30" t="s">
        <v>52</v>
      </c>
      <c r="C30" t="s">
        <v>48</v>
      </c>
      <c r="D30" t="s">
        <v>119</v>
      </c>
      <c r="E30" t="s">
        <v>111</v>
      </c>
      <c r="F30" s="12">
        <v>41838</v>
      </c>
      <c r="G30" s="1">
        <v>435608613</v>
      </c>
      <c r="H30" s="12">
        <v>41850</v>
      </c>
      <c r="I30" s="1">
        <f t="shared" si="0"/>
        <v>2014</v>
      </c>
      <c r="J30" s="1">
        <f t="shared" si="1"/>
        <v>7</v>
      </c>
      <c r="K30" s="1" t="str">
        <f t="shared" si="2"/>
        <v>Jul</v>
      </c>
      <c r="L30" s="1">
        <f t="shared" si="3"/>
        <v>12</v>
      </c>
      <c r="M30" s="1">
        <v>5124</v>
      </c>
      <c r="N30" s="31">
        <v>47.45</v>
      </c>
      <c r="O30" s="31">
        <v>31.79</v>
      </c>
      <c r="P30" s="30">
        <v>243133.8</v>
      </c>
      <c r="Q30" s="30">
        <v>162891.96</v>
      </c>
      <c r="R30" s="30">
        <v>80241.84</v>
      </c>
    </row>
    <row r="31" spans="1:18" x14ac:dyDescent="0.3">
      <c r="A31" t="s">
        <v>25</v>
      </c>
      <c r="B31" t="s">
        <v>60</v>
      </c>
      <c r="C31" t="s">
        <v>31</v>
      </c>
      <c r="D31" t="s">
        <v>119</v>
      </c>
      <c r="E31" t="s">
        <v>112</v>
      </c>
      <c r="F31" s="12">
        <v>41055</v>
      </c>
      <c r="G31" s="1">
        <v>886494815</v>
      </c>
      <c r="H31" s="12">
        <v>41069</v>
      </c>
      <c r="I31" s="1">
        <f t="shared" si="0"/>
        <v>2012</v>
      </c>
      <c r="J31" s="1">
        <f t="shared" si="1"/>
        <v>5</v>
      </c>
      <c r="K31" s="1" t="str">
        <f t="shared" si="2"/>
        <v>May</v>
      </c>
      <c r="L31" s="1">
        <f t="shared" si="3"/>
        <v>14</v>
      </c>
      <c r="M31" s="1">
        <v>2370</v>
      </c>
      <c r="N31" s="31">
        <v>668.27</v>
      </c>
      <c r="O31" s="31">
        <v>502.54</v>
      </c>
      <c r="P31" s="30">
        <v>1583799.9</v>
      </c>
      <c r="Q31" s="30">
        <v>1191019.8</v>
      </c>
      <c r="R31" s="30">
        <v>392780.1</v>
      </c>
    </row>
    <row r="32" spans="1:18" x14ac:dyDescent="0.3">
      <c r="A32" t="s">
        <v>22</v>
      </c>
      <c r="B32" t="s">
        <v>61</v>
      </c>
      <c r="C32" t="s">
        <v>46</v>
      </c>
      <c r="D32" t="s">
        <v>119</v>
      </c>
      <c r="E32" t="s">
        <v>114</v>
      </c>
      <c r="F32" s="12">
        <v>41169</v>
      </c>
      <c r="G32" s="1">
        <v>249693334</v>
      </c>
      <c r="H32" s="12">
        <v>41202</v>
      </c>
      <c r="I32" s="1">
        <f t="shared" si="0"/>
        <v>2012</v>
      </c>
      <c r="J32" s="1">
        <f t="shared" si="1"/>
        <v>9</v>
      </c>
      <c r="K32" s="1" t="str">
        <f t="shared" si="2"/>
        <v>Sep</v>
      </c>
      <c r="L32" s="1">
        <f t="shared" si="3"/>
        <v>33</v>
      </c>
      <c r="M32" s="1">
        <v>8661</v>
      </c>
      <c r="N32" s="31">
        <v>437.2</v>
      </c>
      <c r="O32" s="31">
        <v>263.33</v>
      </c>
      <c r="P32" s="30">
        <v>3786589.2</v>
      </c>
      <c r="Q32" s="30">
        <v>2280701.13</v>
      </c>
      <c r="R32" s="30">
        <v>1505888.07</v>
      </c>
    </row>
    <row r="33" spans="1:18" x14ac:dyDescent="0.3">
      <c r="A33" t="s">
        <v>25</v>
      </c>
      <c r="B33" t="s">
        <v>62</v>
      </c>
      <c r="C33" t="s">
        <v>35</v>
      </c>
      <c r="D33" t="s">
        <v>119</v>
      </c>
      <c r="E33" t="s">
        <v>111</v>
      </c>
      <c r="F33" s="12">
        <v>41637</v>
      </c>
      <c r="G33" s="1">
        <v>406502997</v>
      </c>
      <c r="H33" s="12">
        <v>41667</v>
      </c>
      <c r="I33" s="1">
        <f t="shared" si="0"/>
        <v>2013</v>
      </c>
      <c r="J33" s="1">
        <f t="shared" si="1"/>
        <v>12</v>
      </c>
      <c r="K33" s="1" t="str">
        <f t="shared" si="2"/>
        <v>Dec</v>
      </c>
      <c r="L33" s="1">
        <f t="shared" si="3"/>
        <v>30</v>
      </c>
      <c r="M33" s="1">
        <v>2125</v>
      </c>
      <c r="N33" s="31">
        <v>81.73</v>
      </c>
      <c r="O33" s="31">
        <v>56.67</v>
      </c>
      <c r="P33" s="30">
        <v>173676.25</v>
      </c>
      <c r="Q33" s="30">
        <v>120423.75</v>
      </c>
      <c r="R33" s="30">
        <v>53252.5</v>
      </c>
    </row>
    <row r="34" spans="1:18" x14ac:dyDescent="0.3">
      <c r="A34" t="s">
        <v>14</v>
      </c>
      <c r="B34" t="s">
        <v>63</v>
      </c>
      <c r="C34" t="s">
        <v>24</v>
      </c>
      <c r="D34" t="s">
        <v>120</v>
      </c>
      <c r="E34" t="s">
        <v>111</v>
      </c>
      <c r="F34" s="12">
        <v>42304</v>
      </c>
      <c r="G34" s="1">
        <v>158535134</v>
      </c>
      <c r="H34" s="12">
        <v>42333</v>
      </c>
      <c r="I34" s="1">
        <f t="shared" si="0"/>
        <v>2015</v>
      </c>
      <c r="J34" s="1">
        <f t="shared" si="1"/>
        <v>10</v>
      </c>
      <c r="K34" s="1" t="str">
        <f t="shared" si="2"/>
        <v>Oct</v>
      </c>
      <c r="L34" s="1">
        <f t="shared" si="3"/>
        <v>29</v>
      </c>
      <c r="M34" s="1">
        <v>2924</v>
      </c>
      <c r="N34" s="31">
        <v>651.21</v>
      </c>
      <c r="O34" s="31">
        <v>524.96</v>
      </c>
      <c r="P34" s="30">
        <v>1904138.04</v>
      </c>
      <c r="Q34" s="30">
        <v>1534983.04</v>
      </c>
      <c r="R34" s="30">
        <v>369155</v>
      </c>
    </row>
    <row r="35" spans="1:18" x14ac:dyDescent="0.3">
      <c r="A35" t="s">
        <v>37</v>
      </c>
      <c r="B35" t="s">
        <v>64</v>
      </c>
      <c r="C35" t="s">
        <v>31</v>
      </c>
      <c r="D35" t="s">
        <v>119</v>
      </c>
      <c r="E35" t="s">
        <v>113</v>
      </c>
      <c r="F35" s="12">
        <v>42020</v>
      </c>
      <c r="G35" s="1">
        <v>177713572</v>
      </c>
      <c r="H35" s="12">
        <v>42064</v>
      </c>
      <c r="I35" s="1">
        <f t="shared" si="0"/>
        <v>2015</v>
      </c>
      <c r="J35" s="1">
        <f t="shared" si="1"/>
        <v>1</v>
      </c>
      <c r="K35" s="1" t="str">
        <f t="shared" si="2"/>
        <v>Jan</v>
      </c>
      <c r="L35" s="1">
        <f t="shared" si="3"/>
        <v>44</v>
      </c>
      <c r="M35" s="1">
        <v>8250</v>
      </c>
      <c r="N35" s="31">
        <v>668.27</v>
      </c>
      <c r="O35" s="31">
        <v>502.54</v>
      </c>
      <c r="P35" s="30">
        <v>5513227.5</v>
      </c>
      <c r="Q35" s="30">
        <v>4145955</v>
      </c>
      <c r="R35" s="30">
        <v>1367272.5</v>
      </c>
    </row>
    <row r="36" spans="1:18" x14ac:dyDescent="0.3">
      <c r="A36" t="s">
        <v>25</v>
      </c>
      <c r="B36" t="s">
        <v>65</v>
      </c>
      <c r="C36" t="s">
        <v>54</v>
      </c>
      <c r="D36" t="s">
        <v>120</v>
      </c>
      <c r="E36" t="s">
        <v>114</v>
      </c>
      <c r="F36" s="12">
        <v>42791</v>
      </c>
      <c r="G36" s="1">
        <v>756274640</v>
      </c>
      <c r="H36" s="12">
        <v>42791</v>
      </c>
      <c r="I36" s="1">
        <f t="shared" si="0"/>
        <v>2017</v>
      </c>
      <c r="J36" s="1">
        <f t="shared" si="1"/>
        <v>2</v>
      </c>
      <c r="K36" s="1" t="str">
        <f t="shared" si="2"/>
        <v>Feb</v>
      </c>
      <c r="L36" s="1">
        <f t="shared" si="3"/>
        <v>0</v>
      </c>
      <c r="M36" s="1">
        <v>7327</v>
      </c>
      <c r="N36" s="31">
        <v>152.58000000000001</v>
      </c>
      <c r="O36" s="31">
        <v>97.44</v>
      </c>
      <c r="P36" s="30">
        <v>1117953.6599999999</v>
      </c>
      <c r="Q36" s="30">
        <v>713942.88</v>
      </c>
      <c r="R36" s="30">
        <v>404010.78</v>
      </c>
    </row>
    <row r="37" spans="1:18" x14ac:dyDescent="0.3">
      <c r="A37" t="s">
        <v>18</v>
      </c>
      <c r="B37" t="s">
        <v>66</v>
      </c>
      <c r="C37" t="s">
        <v>35</v>
      </c>
      <c r="D37" t="s">
        <v>119</v>
      </c>
      <c r="E37" t="s">
        <v>112</v>
      </c>
      <c r="F37" s="12">
        <v>42863</v>
      </c>
      <c r="G37" s="1">
        <v>456767165</v>
      </c>
      <c r="H37" s="12">
        <v>42876</v>
      </c>
      <c r="I37" s="1">
        <f t="shared" si="0"/>
        <v>2017</v>
      </c>
      <c r="J37" s="1">
        <f t="shared" si="1"/>
        <v>5</v>
      </c>
      <c r="K37" s="1" t="str">
        <f t="shared" si="2"/>
        <v>May</v>
      </c>
      <c r="L37" s="1">
        <f t="shared" si="3"/>
        <v>13</v>
      </c>
      <c r="M37" s="1">
        <v>6409</v>
      </c>
      <c r="N37" s="31">
        <v>81.73</v>
      </c>
      <c r="O37" s="31">
        <v>56.67</v>
      </c>
      <c r="P37" s="30">
        <v>523807.57</v>
      </c>
      <c r="Q37" s="30">
        <v>363198.03</v>
      </c>
      <c r="R37" s="30">
        <v>160609.54</v>
      </c>
    </row>
    <row r="38" spans="1:18" x14ac:dyDescent="0.3">
      <c r="A38" t="s">
        <v>67</v>
      </c>
      <c r="B38" t="s">
        <v>68</v>
      </c>
      <c r="C38" t="s">
        <v>27</v>
      </c>
      <c r="D38" t="s">
        <v>120</v>
      </c>
      <c r="E38" t="s">
        <v>112</v>
      </c>
      <c r="F38" s="12">
        <v>40869</v>
      </c>
      <c r="G38" s="1">
        <v>162052476</v>
      </c>
      <c r="H38" s="12">
        <v>40880</v>
      </c>
      <c r="I38" s="1">
        <f t="shared" si="0"/>
        <v>2011</v>
      </c>
      <c r="J38" s="1">
        <f t="shared" si="1"/>
        <v>11</v>
      </c>
      <c r="K38" s="1" t="str">
        <f t="shared" si="2"/>
        <v>Nov</v>
      </c>
      <c r="L38" s="1">
        <f t="shared" si="3"/>
        <v>11</v>
      </c>
      <c r="M38" s="1">
        <v>3784</v>
      </c>
      <c r="N38" s="31">
        <v>9.33</v>
      </c>
      <c r="O38" s="31">
        <v>6.92</v>
      </c>
      <c r="P38" s="30">
        <v>35304.720000000001</v>
      </c>
      <c r="Q38" s="30">
        <v>26185.279999999999</v>
      </c>
      <c r="R38" s="30">
        <v>9119.44</v>
      </c>
    </row>
    <row r="39" spans="1:18" x14ac:dyDescent="0.3">
      <c r="A39" t="s">
        <v>25</v>
      </c>
      <c r="B39" t="s">
        <v>60</v>
      </c>
      <c r="C39" t="s">
        <v>51</v>
      </c>
      <c r="D39" t="s">
        <v>120</v>
      </c>
      <c r="E39" t="s">
        <v>114</v>
      </c>
      <c r="F39" s="12">
        <v>42749</v>
      </c>
      <c r="G39" s="1">
        <v>825304400</v>
      </c>
      <c r="H39" s="12">
        <v>42758</v>
      </c>
      <c r="I39" s="1">
        <f t="shared" si="0"/>
        <v>2017</v>
      </c>
      <c r="J39" s="1">
        <f t="shared" si="1"/>
        <v>1</v>
      </c>
      <c r="K39" s="1" t="str">
        <f t="shared" si="2"/>
        <v>Jan</v>
      </c>
      <c r="L39" s="1">
        <f t="shared" si="3"/>
        <v>9</v>
      </c>
      <c r="M39" s="1">
        <v>4767</v>
      </c>
      <c r="N39" s="31">
        <v>421.89</v>
      </c>
      <c r="O39" s="31">
        <v>364.69</v>
      </c>
      <c r="P39" s="30">
        <v>2011149.63</v>
      </c>
      <c r="Q39" s="30">
        <v>1738477.23</v>
      </c>
      <c r="R39" s="30">
        <v>272672.40000000002</v>
      </c>
    </row>
    <row r="40" spans="1:18" x14ac:dyDescent="0.3">
      <c r="A40" t="s">
        <v>37</v>
      </c>
      <c r="B40" t="s">
        <v>69</v>
      </c>
      <c r="C40" t="s">
        <v>24</v>
      </c>
      <c r="D40" t="s">
        <v>120</v>
      </c>
      <c r="E40" t="s">
        <v>112</v>
      </c>
      <c r="F40" s="12">
        <v>41000</v>
      </c>
      <c r="G40" s="1">
        <v>320009267</v>
      </c>
      <c r="H40" s="12">
        <v>41037</v>
      </c>
      <c r="I40" s="1">
        <f t="shared" si="0"/>
        <v>2012</v>
      </c>
      <c r="J40" s="1">
        <f t="shared" si="1"/>
        <v>4</v>
      </c>
      <c r="K40" s="1" t="str">
        <f t="shared" si="2"/>
        <v>Apr</v>
      </c>
      <c r="L40" s="1">
        <f t="shared" si="3"/>
        <v>37</v>
      </c>
      <c r="M40" s="1">
        <v>6708</v>
      </c>
      <c r="N40" s="31">
        <v>651.21</v>
      </c>
      <c r="O40" s="31">
        <v>524.96</v>
      </c>
      <c r="P40" s="30">
        <v>4368316.68</v>
      </c>
      <c r="Q40" s="30">
        <v>3521431.68</v>
      </c>
      <c r="R40" s="30">
        <v>846885</v>
      </c>
    </row>
    <row r="41" spans="1:18" x14ac:dyDescent="0.3">
      <c r="A41" t="s">
        <v>22</v>
      </c>
      <c r="B41" t="s">
        <v>44</v>
      </c>
      <c r="C41" t="s">
        <v>24</v>
      </c>
      <c r="D41" t="s">
        <v>120</v>
      </c>
      <c r="E41" t="s">
        <v>114</v>
      </c>
      <c r="F41" s="12">
        <v>40955</v>
      </c>
      <c r="G41" s="1">
        <v>189965903</v>
      </c>
      <c r="H41" s="12">
        <v>40967</v>
      </c>
      <c r="I41" s="1">
        <f t="shared" si="0"/>
        <v>2012</v>
      </c>
      <c r="J41" s="1">
        <f t="shared" si="1"/>
        <v>2</v>
      </c>
      <c r="K41" s="1" t="str">
        <f t="shared" si="2"/>
        <v>Feb</v>
      </c>
      <c r="L41" s="1">
        <f t="shared" si="3"/>
        <v>12</v>
      </c>
      <c r="M41" s="1">
        <v>3987</v>
      </c>
      <c r="N41" s="31">
        <v>651.21</v>
      </c>
      <c r="O41" s="31">
        <v>524.96</v>
      </c>
      <c r="P41" s="30">
        <v>2596374.27</v>
      </c>
      <c r="Q41" s="30">
        <v>2093015.52</v>
      </c>
      <c r="R41" s="30">
        <v>503358.75</v>
      </c>
    </row>
    <row r="42" spans="1:18" x14ac:dyDescent="0.3">
      <c r="A42" t="s">
        <v>25</v>
      </c>
      <c r="B42" t="s">
        <v>70</v>
      </c>
      <c r="C42" t="s">
        <v>35</v>
      </c>
      <c r="D42" t="s">
        <v>120</v>
      </c>
      <c r="E42" t="s">
        <v>113</v>
      </c>
      <c r="F42" s="12">
        <v>42805</v>
      </c>
      <c r="G42" s="1">
        <v>699285638</v>
      </c>
      <c r="H42" s="12">
        <v>42822</v>
      </c>
      <c r="I42" s="1">
        <f t="shared" si="0"/>
        <v>2017</v>
      </c>
      <c r="J42" s="1">
        <f t="shared" si="1"/>
        <v>3</v>
      </c>
      <c r="K42" s="1" t="str">
        <f t="shared" si="2"/>
        <v>Mar</v>
      </c>
      <c r="L42" s="1">
        <f t="shared" si="3"/>
        <v>17</v>
      </c>
      <c r="M42" s="1">
        <v>3015</v>
      </c>
      <c r="N42" s="31">
        <v>81.73</v>
      </c>
      <c r="O42" s="31">
        <v>56.67</v>
      </c>
      <c r="P42" s="30">
        <v>246415.95</v>
      </c>
      <c r="Q42" s="30">
        <v>170860.05</v>
      </c>
      <c r="R42" s="30">
        <v>75555.899999999994</v>
      </c>
    </row>
    <row r="43" spans="1:18" x14ac:dyDescent="0.3">
      <c r="A43" t="s">
        <v>67</v>
      </c>
      <c r="B43" t="s">
        <v>71</v>
      </c>
      <c r="C43" t="s">
        <v>46</v>
      </c>
      <c r="D43" t="s">
        <v>120</v>
      </c>
      <c r="E43" t="s">
        <v>114</v>
      </c>
      <c r="F43" s="12">
        <v>40215</v>
      </c>
      <c r="G43" s="1">
        <v>382392299</v>
      </c>
      <c r="H43" s="12">
        <v>40234</v>
      </c>
      <c r="I43" s="1">
        <f t="shared" si="0"/>
        <v>2010</v>
      </c>
      <c r="J43" s="1">
        <f t="shared" si="1"/>
        <v>2</v>
      </c>
      <c r="K43" s="1" t="str">
        <f t="shared" si="2"/>
        <v>Feb</v>
      </c>
      <c r="L43" s="1">
        <f t="shared" si="3"/>
        <v>19</v>
      </c>
      <c r="M43" s="1">
        <v>7234</v>
      </c>
      <c r="N43" s="31">
        <v>437.2</v>
      </c>
      <c r="O43" s="31">
        <v>263.33</v>
      </c>
      <c r="P43" s="30">
        <v>3162704.8</v>
      </c>
      <c r="Q43" s="30">
        <v>1904929.22</v>
      </c>
      <c r="R43" s="30">
        <v>1257775.58</v>
      </c>
    </row>
    <row r="44" spans="1:18" x14ac:dyDescent="0.3">
      <c r="A44" t="s">
        <v>25</v>
      </c>
      <c r="B44" t="s">
        <v>60</v>
      </c>
      <c r="C44" t="s">
        <v>20</v>
      </c>
      <c r="D44" t="s">
        <v>119</v>
      </c>
      <c r="E44" t="s">
        <v>113</v>
      </c>
      <c r="F44" s="12">
        <v>41067</v>
      </c>
      <c r="G44" s="1">
        <v>994022214</v>
      </c>
      <c r="H44" s="12">
        <v>41068</v>
      </c>
      <c r="I44" s="1">
        <f t="shared" si="0"/>
        <v>2012</v>
      </c>
      <c r="J44" s="1">
        <f t="shared" si="1"/>
        <v>6</v>
      </c>
      <c r="K44" s="1" t="str">
        <f t="shared" si="2"/>
        <v>Jun</v>
      </c>
      <c r="L44" s="1">
        <f t="shared" si="3"/>
        <v>1</v>
      </c>
      <c r="M44" s="1">
        <v>2117</v>
      </c>
      <c r="N44" s="31">
        <v>205.7</v>
      </c>
      <c r="O44" s="31">
        <v>117.11</v>
      </c>
      <c r="P44" s="30">
        <v>435466.9</v>
      </c>
      <c r="Q44" s="30">
        <v>247921.87</v>
      </c>
      <c r="R44" s="30">
        <v>187545.03</v>
      </c>
    </row>
    <row r="45" spans="1:18" x14ac:dyDescent="0.3">
      <c r="A45" t="s">
        <v>22</v>
      </c>
      <c r="B45" t="s">
        <v>72</v>
      </c>
      <c r="C45" t="s">
        <v>33</v>
      </c>
      <c r="D45" t="s">
        <v>120</v>
      </c>
      <c r="E45" t="s">
        <v>113</v>
      </c>
      <c r="F45" s="12">
        <v>41188</v>
      </c>
      <c r="G45" s="1">
        <v>759224212</v>
      </c>
      <c r="H45" s="12">
        <v>41223</v>
      </c>
      <c r="I45" s="1">
        <f t="shared" si="0"/>
        <v>2012</v>
      </c>
      <c r="J45" s="1">
        <f t="shared" si="1"/>
        <v>10</v>
      </c>
      <c r="K45" s="1" t="str">
        <f t="shared" si="2"/>
        <v>Oct</v>
      </c>
      <c r="L45" s="1">
        <f t="shared" si="3"/>
        <v>35</v>
      </c>
      <c r="M45" s="1">
        <v>171</v>
      </c>
      <c r="N45" s="31">
        <v>154.06</v>
      </c>
      <c r="O45" s="31">
        <v>90.93</v>
      </c>
      <c r="P45" s="30">
        <v>26344.26</v>
      </c>
      <c r="Q45" s="30">
        <v>15549.03</v>
      </c>
      <c r="R45" s="30">
        <v>10795.23</v>
      </c>
    </row>
    <row r="46" spans="1:18" x14ac:dyDescent="0.3">
      <c r="A46" t="s">
        <v>37</v>
      </c>
      <c r="B46" t="s">
        <v>64</v>
      </c>
      <c r="C46" t="s">
        <v>40</v>
      </c>
      <c r="D46" t="s">
        <v>120</v>
      </c>
      <c r="E46" t="s">
        <v>113</v>
      </c>
      <c r="F46" s="12">
        <v>42322</v>
      </c>
      <c r="G46" s="1">
        <v>223359620</v>
      </c>
      <c r="H46" s="12">
        <v>42326</v>
      </c>
      <c r="I46" s="1">
        <f t="shared" si="0"/>
        <v>2015</v>
      </c>
      <c r="J46" s="1">
        <f t="shared" si="1"/>
        <v>11</v>
      </c>
      <c r="K46" s="1" t="str">
        <f t="shared" si="2"/>
        <v>Nov</v>
      </c>
      <c r="L46" s="1">
        <f t="shared" si="3"/>
        <v>4</v>
      </c>
      <c r="M46" s="1">
        <v>5930</v>
      </c>
      <c r="N46" s="31">
        <v>109.28</v>
      </c>
      <c r="O46" s="31">
        <v>35.840000000000003</v>
      </c>
      <c r="P46" s="30">
        <v>648030.4</v>
      </c>
      <c r="Q46" s="30">
        <v>212531.20000000001</v>
      </c>
      <c r="R46" s="30">
        <v>435499.2</v>
      </c>
    </row>
    <row r="47" spans="1:18" x14ac:dyDescent="0.3">
      <c r="A47" t="s">
        <v>25</v>
      </c>
      <c r="B47" t="s">
        <v>73</v>
      </c>
      <c r="C47" t="s">
        <v>20</v>
      </c>
      <c r="D47" t="s">
        <v>119</v>
      </c>
      <c r="E47" t="s">
        <v>113</v>
      </c>
      <c r="F47" s="12">
        <v>42458</v>
      </c>
      <c r="G47" s="1">
        <v>902102267</v>
      </c>
      <c r="H47" s="12">
        <v>42489</v>
      </c>
      <c r="I47" s="1">
        <f t="shared" si="0"/>
        <v>2016</v>
      </c>
      <c r="J47" s="1">
        <f t="shared" si="1"/>
        <v>3</v>
      </c>
      <c r="K47" s="1" t="str">
        <f t="shared" si="2"/>
        <v>Mar</v>
      </c>
      <c r="L47" s="1">
        <f t="shared" si="3"/>
        <v>31</v>
      </c>
      <c r="M47" s="1">
        <v>962</v>
      </c>
      <c r="N47" s="31">
        <v>205.7</v>
      </c>
      <c r="O47" s="31">
        <v>117.11</v>
      </c>
      <c r="P47" s="30">
        <v>197883.4</v>
      </c>
      <c r="Q47" s="30">
        <v>112659.82</v>
      </c>
      <c r="R47" s="30">
        <v>85223.58</v>
      </c>
    </row>
    <row r="48" spans="1:18" x14ac:dyDescent="0.3">
      <c r="A48" t="s">
        <v>22</v>
      </c>
      <c r="B48" t="s">
        <v>74</v>
      </c>
      <c r="C48" t="s">
        <v>46</v>
      </c>
      <c r="D48" t="s">
        <v>120</v>
      </c>
      <c r="E48" t="s">
        <v>111</v>
      </c>
      <c r="F48" s="12">
        <v>42735</v>
      </c>
      <c r="G48" s="1">
        <v>331438481</v>
      </c>
      <c r="H48" s="12">
        <v>42735</v>
      </c>
      <c r="I48" s="1">
        <f t="shared" si="0"/>
        <v>2016</v>
      </c>
      <c r="J48" s="1">
        <f t="shared" si="1"/>
        <v>12</v>
      </c>
      <c r="K48" s="1" t="str">
        <f t="shared" si="2"/>
        <v>Dec</v>
      </c>
      <c r="L48" s="1">
        <f t="shared" si="3"/>
        <v>0</v>
      </c>
      <c r="M48" s="1">
        <v>8867</v>
      </c>
      <c r="N48" s="31">
        <v>437.2</v>
      </c>
      <c r="O48" s="31">
        <v>263.33</v>
      </c>
      <c r="P48" s="30">
        <v>3876652.4</v>
      </c>
      <c r="Q48" s="30">
        <v>2334947.11</v>
      </c>
      <c r="R48" s="30">
        <v>1541705.29</v>
      </c>
    </row>
    <row r="49" spans="1:18" x14ac:dyDescent="0.3">
      <c r="A49" t="s">
        <v>22</v>
      </c>
      <c r="B49" t="s">
        <v>61</v>
      </c>
      <c r="C49" t="s">
        <v>35</v>
      </c>
      <c r="D49" t="s">
        <v>120</v>
      </c>
      <c r="E49" t="s">
        <v>114</v>
      </c>
      <c r="F49" s="12">
        <v>40535</v>
      </c>
      <c r="G49" s="1">
        <v>617667090</v>
      </c>
      <c r="H49" s="12">
        <v>40574</v>
      </c>
      <c r="I49" s="1">
        <f t="shared" si="0"/>
        <v>2010</v>
      </c>
      <c r="J49" s="1">
        <f t="shared" si="1"/>
        <v>12</v>
      </c>
      <c r="K49" s="1" t="str">
        <f t="shared" si="2"/>
        <v>Dec</v>
      </c>
      <c r="L49" s="1">
        <f t="shared" si="3"/>
        <v>39</v>
      </c>
      <c r="M49" s="1">
        <v>273</v>
      </c>
      <c r="N49" s="31">
        <v>81.73</v>
      </c>
      <c r="O49" s="31">
        <v>56.67</v>
      </c>
      <c r="P49" s="30">
        <v>22312.29</v>
      </c>
      <c r="Q49" s="30">
        <v>15470.91</v>
      </c>
      <c r="R49" s="30">
        <v>6841.38</v>
      </c>
    </row>
    <row r="50" spans="1:18" x14ac:dyDescent="0.3">
      <c r="A50" t="s">
        <v>22</v>
      </c>
      <c r="B50" t="s">
        <v>75</v>
      </c>
      <c r="C50" t="s">
        <v>40</v>
      </c>
      <c r="D50" t="s">
        <v>119</v>
      </c>
      <c r="E50" t="s">
        <v>111</v>
      </c>
      <c r="F50" s="12">
        <v>41926</v>
      </c>
      <c r="G50" s="1">
        <v>787399423</v>
      </c>
      <c r="H50" s="12">
        <v>41957</v>
      </c>
      <c r="I50" s="1">
        <f t="shared" si="0"/>
        <v>2014</v>
      </c>
      <c r="J50" s="1">
        <f t="shared" si="1"/>
        <v>10</v>
      </c>
      <c r="K50" s="1" t="str">
        <f t="shared" si="2"/>
        <v>Oct</v>
      </c>
      <c r="L50" s="1">
        <f t="shared" si="3"/>
        <v>31</v>
      </c>
      <c r="M50" s="1">
        <v>7842</v>
      </c>
      <c r="N50" s="31">
        <v>109.28</v>
      </c>
      <c r="O50" s="31">
        <v>35.840000000000003</v>
      </c>
      <c r="P50" s="30">
        <v>856973.76</v>
      </c>
      <c r="Q50" s="30">
        <v>281057.28000000003</v>
      </c>
      <c r="R50" s="30">
        <v>575916.48</v>
      </c>
    </row>
    <row r="51" spans="1:18" x14ac:dyDescent="0.3">
      <c r="A51" t="s">
        <v>25</v>
      </c>
      <c r="B51" t="s">
        <v>76</v>
      </c>
      <c r="C51" t="s">
        <v>24</v>
      </c>
      <c r="D51" t="s">
        <v>119</v>
      </c>
      <c r="E51" t="s">
        <v>111</v>
      </c>
      <c r="F51" s="12">
        <v>40919</v>
      </c>
      <c r="G51" s="1">
        <v>837559306</v>
      </c>
      <c r="H51" s="12">
        <v>40921</v>
      </c>
      <c r="I51" s="1">
        <f t="shared" si="0"/>
        <v>2012</v>
      </c>
      <c r="J51" s="1">
        <f t="shared" si="1"/>
        <v>1</v>
      </c>
      <c r="K51" s="1" t="str">
        <f t="shared" si="2"/>
        <v>Jan</v>
      </c>
      <c r="L51" s="1">
        <f t="shared" si="3"/>
        <v>2</v>
      </c>
      <c r="M51" s="1">
        <v>1266</v>
      </c>
      <c r="N51" s="31">
        <v>651.21</v>
      </c>
      <c r="O51" s="31">
        <v>524.96</v>
      </c>
      <c r="P51" s="30">
        <v>824431.86</v>
      </c>
      <c r="Q51" s="30">
        <v>664599.36</v>
      </c>
      <c r="R51" s="30">
        <v>159832.5</v>
      </c>
    </row>
    <row r="52" spans="1:18" x14ac:dyDescent="0.3">
      <c r="A52" t="s">
        <v>22</v>
      </c>
      <c r="B52" t="s">
        <v>77</v>
      </c>
      <c r="C52" t="s">
        <v>40</v>
      </c>
      <c r="D52" t="s">
        <v>120</v>
      </c>
      <c r="E52" t="s">
        <v>111</v>
      </c>
      <c r="F52" s="12">
        <v>40211</v>
      </c>
      <c r="G52" s="1">
        <v>385383069</v>
      </c>
      <c r="H52" s="12">
        <v>40255</v>
      </c>
      <c r="I52" s="1">
        <f t="shared" si="0"/>
        <v>2010</v>
      </c>
      <c r="J52" s="1">
        <f t="shared" si="1"/>
        <v>2</v>
      </c>
      <c r="K52" s="1" t="str">
        <f t="shared" si="2"/>
        <v>Feb</v>
      </c>
      <c r="L52" s="1">
        <f t="shared" si="3"/>
        <v>44</v>
      </c>
      <c r="M52" s="1">
        <v>2269</v>
      </c>
      <c r="N52" s="31">
        <v>109.28</v>
      </c>
      <c r="O52" s="31">
        <v>35.840000000000003</v>
      </c>
      <c r="P52" s="30">
        <v>247956.32</v>
      </c>
      <c r="Q52" s="30">
        <v>81320.960000000006</v>
      </c>
      <c r="R52" s="30">
        <v>166635.35999999999</v>
      </c>
    </row>
    <row r="53" spans="1:18" x14ac:dyDescent="0.3">
      <c r="A53" t="s">
        <v>25</v>
      </c>
      <c r="B53" t="s">
        <v>78</v>
      </c>
      <c r="C53" t="s">
        <v>27</v>
      </c>
      <c r="D53" t="s">
        <v>120</v>
      </c>
      <c r="E53" t="s">
        <v>112</v>
      </c>
      <c r="F53" s="12">
        <v>41504</v>
      </c>
      <c r="G53" s="1">
        <v>918419539</v>
      </c>
      <c r="H53" s="12">
        <v>41535</v>
      </c>
      <c r="I53" s="1">
        <f t="shared" si="0"/>
        <v>2013</v>
      </c>
      <c r="J53" s="1">
        <f t="shared" si="1"/>
        <v>8</v>
      </c>
      <c r="K53" s="1" t="str">
        <f t="shared" si="2"/>
        <v>Aug</v>
      </c>
      <c r="L53" s="1">
        <f t="shared" si="3"/>
        <v>31</v>
      </c>
      <c r="M53" s="1">
        <v>9606</v>
      </c>
      <c r="N53" s="31">
        <v>9.33</v>
      </c>
      <c r="O53" s="31">
        <v>6.92</v>
      </c>
      <c r="P53" s="30">
        <v>89623.98</v>
      </c>
      <c r="Q53" s="30">
        <v>66473.52</v>
      </c>
      <c r="R53" s="30">
        <v>23150.46</v>
      </c>
    </row>
    <row r="54" spans="1:18" x14ac:dyDescent="0.3">
      <c r="A54" t="s">
        <v>67</v>
      </c>
      <c r="B54" t="s">
        <v>79</v>
      </c>
      <c r="C54" t="s">
        <v>20</v>
      </c>
      <c r="D54" t="s">
        <v>120</v>
      </c>
      <c r="E54" t="s">
        <v>114</v>
      </c>
      <c r="F54" s="12">
        <v>41358</v>
      </c>
      <c r="G54" s="1">
        <v>844530045</v>
      </c>
      <c r="H54" s="12">
        <v>41361</v>
      </c>
      <c r="I54" s="1">
        <f t="shared" si="0"/>
        <v>2013</v>
      </c>
      <c r="J54" s="1">
        <f t="shared" si="1"/>
        <v>3</v>
      </c>
      <c r="K54" s="1" t="str">
        <f t="shared" si="2"/>
        <v>Mar</v>
      </c>
      <c r="L54" s="1">
        <f t="shared" si="3"/>
        <v>3</v>
      </c>
      <c r="M54" s="1">
        <v>4063</v>
      </c>
      <c r="N54" s="31">
        <v>205.7</v>
      </c>
      <c r="O54" s="31">
        <v>117.11</v>
      </c>
      <c r="P54" s="30">
        <v>835759.1</v>
      </c>
      <c r="Q54" s="30">
        <v>475817.93</v>
      </c>
      <c r="R54" s="30">
        <v>359941.17</v>
      </c>
    </row>
    <row r="55" spans="1:18" x14ac:dyDescent="0.3">
      <c r="A55" t="s">
        <v>25</v>
      </c>
      <c r="B55" t="s">
        <v>80</v>
      </c>
      <c r="C55" t="s">
        <v>24</v>
      </c>
      <c r="D55" t="s">
        <v>119</v>
      </c>
      <c r="E55" t="s">
        <v>114</v>
      </c>
      <c r="F55" s="12">
        <v>40873</v>
      </c>
      <c r="G55" s="1">
        <v>441888415</v>
      </c>
      <c r="H55" s="12">
        <v>40915</v>
      </c>
      <c r="I55" s="1">
        <f t="shared" si="0"/>
        <v>2011</v>
      </c>
      <c r="J55" s="1">
        <f t="shared" si="1"/>
        <v>11</v>
      </c>
      <c r="K55" s="1" t="str">
        <f t="shared" si="2"/>
        <v>Nov</v>
      </c>
      <c r="L55" s="1">
        <f t="shared" si="3"/>
        <v>42</v>
      </c>
      <c r="M55" s="1">
        <v>3457</v>
      </c>
      <c r="N55" s="31">
        <v>651.21</v>
      </c>
      <c r="O55" s="31">
        <v>524.96</v>
      </c>
      <c r="P55" s="30">
        <v>2251232.9700000002</v>
      </c>
      <c r="Q55" s="30">
        <v>1814786.72</v>
      </c>
      <c r="R55" s="30">
        <v>436446.25</v>
      </c>
    </row>
    <row r="56" spans="1:18" x14ac:dyDescent="0.3">
      <c r="A56" t="s">
        <v>25</v>
      </c>
      <c r="B56" t="s">
        <v>26</v>
      </c>
      <c r="C56" t="s">
        <v>27</v>
      </c>
      <c r="D56" t="s">
        <v>119</v>
      </c>
      <c r="E56" t="s">
        <v>113</v>
      </c>
      <c r="F56" s="12">
        <v>41534</v>
      </c>
      <c r="G56" s="1">
        <v>508980977</v>
      </c>
      <c r="H56" s="12">
        <v>41571</v>
      </c>
      <c r="I56" s="1">
        <f t="shared" si="0"/>
        <v>2013</v>
      </c>
      <c r="J56" s="1">
        <f t="shared" si="1"/>
        <v>9</v>
      </c>
      <c r="K56" s="1" t="str">
        <f t="shared" si="2"/>
        <v>Sep</v>
      </c>
      <c r="L56" s="1">
        <f t="shared" si="3"/>
        <v>37</v>
      </c>
      <c r="M56" s="1">
        <v>7637</v>
      </c>
      <c r="N56" s="31">
        <v>9.33</v>
      </c>
      <c r="O56" s="31">
        <v>6.92</v>
      </c>
      <c r="P56" s="30">
        <v>71253.210000000006</v>
      </c>
      <c r="Q56" s="30">
        <v>52848.04</v>
      </c>
      <c r="R56" s="30">
        <v>18405.169999999998</v>
      </c>
    </row>
    <row r="57" spans="1:18" x14ac:dyDescent="0.3">
      <c r="A57" t="s">
        <v>25</v>
      </c>
      <c r="B57" t="s">
        <v>81</v>
      </c>
      <c r="C57" t="s">
        <v>40</v>
      </c>
      <c r="D57" t="s">
        <v>120</v>
      </c>
      <c r="E57" t="s">
        <v>111</v>
      </c>
      <c r="F57" s="12">
        <v>41068</v>
      </c>
      <c r="G57" s="1">
        <v>114606559</v>
      </c>
      <c r="H57" s="12">
        <v>41087</v>
      </c>
      <c r="I57" s="1">
        <f t="shared" si="0"/>
        <v>2012</v>
      </c>
      <c r="J57" s="1">
        <f t="shared" si="1"/>
        <v>6</v>
      </c>
      <c r="K57" s="1" t="str">
        <f t="shared" si="2"/>
        <v>Jun</v>
      </c>
      <c r="L57" s="1">
        <f t="shared" si="3"/>
        <v>19</v>
      </c>
      <c r="M57" s="1">
        <v>3482</v>
      </c>
      <c r="N57" s="31">
        <v>109.28</v>
      </c>
      <c r="O57" s="31">
        <v>35.840000000000003</v>
      </c>
      <c r="P57" s="30">
        <v>380512.96</v>
      </c>
      <c r="Q57" s="30">
        <v>124794.88</v>
      </c>
      <c r="R57" s="30">
        <v>255718.08</v>
      </c>
    </row>
    <row r="58" spans="1:18" x14ac:dyDescent="0.3">
      <c r="A58" t="s">
        <v>14</v>
      </c>
      <c r="B58" t="s">
        <v>82</v>
      </c>
      <c r="C58" t="s">
        <v>40</v>
      </c>
      <c r="D58" t="s">
        <v>119</v>
      </c>
      <c r="E58" t="s">
        <v>111</v>
      </c>
      <c r="F58" s="12">
        <v>40359</v>
      </c>
      <c r="G58" s="1">
        <v>647876489</v>
      </c>
      <c r="H58" s="12">
        <v>40391</v>
      </c>
      <c r="I58" s="1">
        <f t="shared" si="0"/>
        <v>2010</v>
      </c>
      <c r="J58" s="1">
        <f t="shared" si="1"/>
        <v>6</v>
      </c>
      <c r="K58" s="1" t="str">
        <f t="shared" si="2"/>
        <v>Jun</v>
      </c>
      <c r="L58" s="1">
        <f t="shared" si="3"/>
        <v>32</v>
      </c>
      <c r="M58" s="1">
        <v>9905</v>
      </c>
      <c r="N58" s="31">
        <v>109.28</v>
      </c>
      <c r="O58" s="31">
        <v>35.840000000000003</v>
      </c>
      <c r="P58" s="30">
        <v>1082418.3999999999</v>
      </c>
      <c r="Q58" s="30">
        <v>354995.20000000001</v>
      </c>
      <c r="R58" s="30">
        <v>727423.2</v>
      </c>
    </row>
    <row r="59" spans="1:18" x14ac:dyDescent="0.3">
      <c r="A59" t="s">
        <v>22</v>
      </c>
      <c r="B59" t="s">
        <v>83</v>
      </c>
      <c r="C59" t="s">
        <v>46</v>
      </c>
      <c r="D59" t="s">
        <v>119</v>
      </c>
      <c r="E59" t="s">
        <v>113</v>
      </c>
      <c r="F59" s="12">
        <v>42058</v>
      </c>
      <c r="G59" s="1">
        <v>868214595</v>
      </c>
      <c r="H59" s="12">
        <v>42065</v>
      </c>
      <c r="I59" s="1">
        <f t="shared" si="0"/>
        <v>2015</v>
      </c>
      <c r="J59" s="1">
        <f t="shared" si="1"/>
        <v>2</v>
      </c>
      <c r="K59" s="1" t="str">
        <f t="shared" si="2"/>
        <v>Feb</v>
      </c>
      <c r="L59" s="1">
        <f t="shared" si="3"/>
        <v>7</v>
      </c>
      <c r="M59" s="1">
        <v>2847</v>
      </c>
      <c r="N59" s="31">
        <v>437.2</v>
      </c>
      <c r="O59" s="31">
        <v>263.33</v>
      </c>
      <c r="P59" s="30">
        <v>1244708.3999999999</v>
      </c>
      <c r="Q59" s="30">
        <v>749700.51</v>
      </c>
      <c r="R59" s="30">
        <v>495007.89</v>
      </c>
    </row>
    <row r="60" spans="1:18" x14ac:dyDescent="0.3">
      <c r="A60" t="s">
        <v>22</v>
      </c>
      <c r="B60" t="s">
        <v>84</v>
      </c>
      <c r="C60" t="s">
        <v>31</v>
      </c>
      <c r="D60" t="s">
        <v>120</v>
      </c>
      <c r="E60" t="s">
        <v>112</v>
      </c>
      <c r="F60" s="12">
        <v>40913</v>
      </c>
      <c r="G60" s="1">
        <v>955357205</v>
      </c>
      <c r="H60" s="12">
        <v>40953</v>
      </c>
      <c r="I60" s="1">
        <f t="shared" si="0"/>
        <v>2012</v>
      </c>
      <c r="J60" s="1">
        <f t="shared" si="1"/>
        <v>1</v>
      </c>
      <c r="K60" s="1" t="str">
        <f t="shared" si="2"/>
        <v>Jan</v>
      </c>
      <c r="L60" s="1">
        <f t="shared" si="3"/>
        <v>40</v>
      </c>
      <c r="M60" s="1">
        <v>282</v>
      </c>
      <c r="N60" s="31">
        <v>668.27</v>
      </c>
      <c r="O60" s="31">
        <v>502.54</v>
      </c>
      <c r="P60" s="30">
        <v>188452.14</v>
      </c>
      <c r="Q60" s="30">
        <v>141716.28</v>
      </c>
      <c r="R60" s="30">
        <v>46735.86</v>
      </c>
    </row>
    <row r="61" spans="1:18" x14ac:dyDescent="0.3">
      <c r="A61" t="s">
        <v>25</v>
      </c>
      <c r="B61" t="s">
        <v>65</v>
      </c>
      <c r="C61" t="s">
        <v>46</v>
      </c>
      <c r="D61" t="s">
        <v>119</v>
      </c>
      <c r="E61" t="s">
        <v>113</v>
      </c>
      <c r="F61" s="12">
        <v>41736</v>
      </c>
      <c r="G61" s="1">
        <v>259353148</v>
      </c>
      <c r="H61" s="12">
        <v>41748</v>
      </c>
      <c r="I61" s="1">
        <f t="shared" si="0"/>
        <v>2014</v>
      </c>
      <c r="J61" s="1">
        <f t="shared" si="1"/>
        <v>4</v>
      </c>
      <c r="K61" s="1" t="str">
        <f t="shared" si="2"/>
        <v>Apr</v>
      </c>
      <c r="L61" s="1">
        <f t="shared" si="3"/>
        <v>12</v>
      </c>
      <c r="M61" s="1">
        <v>7215</v>
      </c>
      <c r="N61" s="31">
        <v>437.2</v>
      </c>
      <c r="O61" s="31">
        <v>263.33</v>
      </c>
      <c r="P61" s="30">
        <v>3154398</v>
      </c>
      <c r="Q61" s="30">
        <v>1899925.95</v>
      </c>
      <c r="R61" s="30">
        <v>1254472.05</v>
      </c>
    </row>
    <row r="62" spans="1:18" x14ac:dyDescent="0.3">
      <c r="A62" t="s">
        <v>14</v>
      </c>
      <c r="B62" t="s">
        <v>63</v>
      </c>
      <c r="C62" t="s">
        <v>20</v>
      </c>
      <c r="D62" t="s">
        <v>119</v>
      </c>
      <c r="E62" t="s">
        <v>113</v>
      </c>
      <c r="F62" s="12">
        <v>41434</v>
      </c>
      <c r="G62" s="1">
        <v>450563752</v>
      </c>
      <c r="H62" s="12">
        <v>41457</v>
      </c>
      <c r="I62" s="1">
        <f t="shared" si="0"/>
        <v>2013</v>
      </c>
      <c r="J62" s="1">
        <f t="shared" si="1"/>
        <v>6</v>
      </c>
      <c r="K62" s="1" t="str">
        <f t="shared" si="2"/>
        <v>Jun</v>
      </c>
      <c r="L62" s="1">
        <f t="shared" si="3"/>
        <v>23</v>
      </c>
      <c r="M62" s="1">
        <v>682</v>
      </c>
      <c r="N62" s="31">
        <v>205.7</v>
      </c>
      <c r="O62" s="31">
        <v>117.11</v>
      </c>
      <c r="P62" s="30">
        <v>140287.4</v>
      </c>
      <c r="Q62" s="30">
        <v>79869.02</v>
      </c>
      <c r="R62" s="30">
        <v>60418.38</v>
      </c>
    </row>
    <row r="63" spans="1:18" x14ac:dyDescent="0.3">
      <c r="A63" t="s">
        <v>22</v>
      </c>
      <c r="B63" t="s">
        <v>85</v>
      </c>
      <c r="C63" t="s">
        <v>16</v>
      </c>
      <c r="D63" t="s">
        <v>120</v>
      </c>
      <c r="E63" t="s">
        <v>112</v>
      </c>
      <c r="F63" s="12">
        <v>41451</v>
      </c>
      <c r="G63" s="1">
        <v>569662845</v>
      </c>
      <c r="H63" s="12">
        <v>41456</v>
      </c>
      <c r="I63" s="1">
        <f t="shared" si="0"/>
        <v>2013</v>
      </c>
      <c r="J63" s="1">
        <f t="shared" si="1"/>
        <v>6</v>
      </c>
      <c r="K63" s="1" t="str">
        <f t="shared" si="2"/>
        <v>Jun</v>
      </c>
      <c r="L63" s="1">
        <f t="shared" si="3"/>
        <v>5</v>
      </c>
      <c r="M63" s="1">
        <v>4750</v>
      </c>
      <c r="N63" s="31">
        <v>255.28</v>
      </c>
      <c r="O63" s="31">
        <v>159.41999999999999</v>
      </c>
      <c r="P63" s="30">
        <v>1212580</v>
      </c>
      <c r="Q63" s="30">
        <v>757245</v>
      </c>
      <c r="R63" s="30">
        <v>455335</v>
      </c>
    </row>
    <row r="64" spans="1:18" x14ac:dyDescent="0.3">
      <c r="A64" t="s">
        <v>25</v>
      </c>
      <c r="B64" t="s">
        <v>47</v>
      </c>
      <c r="C64" t="s">
        <v>24</v>
      </c>
      <c r="D64" t="s">
        <v>120</v>
      </c>
      <c r="E64" t="s">
        <v>114</v>
      </c>
      <c r="F64" s="12">
        <v>40854</v>
      </c>
      <c r="G64" s="1">
        <v>177636754</v>
      </c>
      <c r="H64" s="12">
        <v>40862</v>
      </c>
      <c r="I64" s="1">
        <f t="shared" si="0"/>
        <v>2011</v>
      </c>
      <c r="J64" s="1">
        <f t="shared" si="1"/>
        <v>11</v>
      </c>
      <c r="K64" s="1" t="str">
        <f t="shared" si="2"/>
        <v>Nov</v>
      </c>
      <c r="L64" s="1">
        <f t="shared" si="3"/>
        <v>8</v>
      </c>
      <c r="M64" s="1">
        <v>5518</v>
      </c>
      <c r="N64" s="31">
        <v>651.21</v>
      </c>
      <c r="O64" s="31">
        <v>524.96</v>
      </c>
      <c r="P64" s="30">
        <v>3593376.78</v>
      </c>
      <c r="Q64" s="30">
        <v>2896729.28</v>
      </c>
      <c r="R64" s="30">
        <v>696647.5</v>
      </c>
    </row>
    <row r="65" spans="1:18" x14ac:dyDescent="0.3">
      <c r="A65" t="s">
        <v>67</v>
      </c>
      <c r="B65" t="s">
        <v>86</v>
      </c>
      <c r="C65" t="s">
        <v>40</v>
      </c>
      <c r="D65" t="s">
        <v>119</v>
      </c>
      <c r="E65" t="s">
        <v>113</v>
      </c>
      <c r="F65" s="12">
        <v>40481</v>
      </c>
      <c r="G65" s="1">
        <v>705784308</v>
      </c>
      <c r="H65" s="12">
        <v>40499</v>
      </c>
      <c r="I65" s="1">
        <f t="shared" si="0"/>
        <v>2010</v>
      </c>
      <c r="J65" s="1">
        <f t="shared" si="1"/>
        <v>10</v>
      </c>
      <c r="K65" s="1" t="str">
        <f t="shared" si="2"/>
        <v>Oct</v>
      </c>
      <c r="L65" s="1">
        <f t="shared" si="3"/>
        <v>18</v>
      </c>
      <c r="M65" s="1">
        <v>6116</v>
      </c>
      <c r="N65" s="31">
        <v>109.28</v>
      </c>
      <c r="O65" s="31">
        <v>35.840000000000003</v>
      </c>
      <c r="P65" s="30">
        <v>668356.48</v>
      </c>
      <c r="Q65" s="30">
        <v>219197.44</v>
      </c>
      <c r="R65" s="30">
        <v>449159.04</v>
      </c>
    </row>
    <row r="66" spans="1:18" x14ac:dyDescent="0.3">
      <c r="A66" t="s">
        <v>18</v>
      </c>
      <c r="B66" t="s">
        <v>87</v>
      </c>
      <c r="C66" t="s">
        <v>46</v>
      </c>
      <c r="D66" t="s">
        <v>119</v>
      </c>
      <c r="E66" t="s">
        <v>113</v>
      </c>
      <c r="F66" s="12">
        <v>41560</v>
      </c>
      <c r="G66" s="1">
        <v>505716836</v>
      </c>
      <c r="H66" s="12">
        <v>41594</v>
      </c>
      <c r="I66" s="1">
        <f t="shared" si="0"/>
        <v>2013</v>
      </c>
      <c r="J66" s="1">
        <f t="shared" si="1"/>
        <v>10</v>
      </c>
      <c r="K66" s="1" t="str">
        <f t="shared" si="2"/>
        <v>Oct</v>
      </c>
      <c r="L66" s="1">
        <f t="shared" si="3"/>
        <v>34</v>
      </c>
      <c r="M66" s="1">
        <v>1705</v>
      </c>
      <c r="N66" s="31">
        <v>437.2</v>
      </c>
      <c r="O66" s="31">
        <v>263.33</v>
      </c>
      <c r="P66" s="30">
        <v>745426</v>
      </c>
      <c r="Q66" s="30">
        <v>448977.65</v>
      </c>
      <c r="R66" s="30">
        <v>296448.34999999998</v>
      </c>
    </row>
    <row r="67" spans="1:18" x14ac:dyDescent="0.3">
      <c r="A67" t="s">
        <v>25</v>
      </c>
      <c r="B67" t="s">
        <v>28</v>
      </c>
      <c r="C67" t="s">
        <v>46</v>
      </c>
      <c r="D67" t="s">
        <v>119</v>
      </c>
      <c r="E67" t="s">
        <v>113</v>
      </c>
      <c r="F67" s="12">
        <v>41558</v>
      </c>
      <c r="G67" s="1">
        <v>699358165</v>
      </c>
      <c r="H67" s="12">
        <v>41603</v>
      </c>
      <c r="I67" s="1">
        <f t="shared" ref="I67:I101" si="4">YEAR(F67)</f>
        <v>2013</v>
      </c>
      <c r="J67" s="1">
        <f t="shared" ref="J67:J101" si="5">MONTH(F67)</f>
        <v>10</v>
      </c>
      <c r="K67" s="1" t="str">
        <f t="shared" ref="K67:K101" si="6">TEXT(F67,"mmm")</f>
        <v>Oct</v>
      </c>
      <c r="L67" s="1">
        <f t="shared" ref="L67:L101" si="7">H67-F67</f>
        <v>45</v>
      </c>
      <c r="M67" s="1">
        <v>4477</v>
      </c>
      <c r="N67" s="31">
        <v>437.2</v>
      </c>
      <c r="O67" s="31">
        <v>263.33</v>
      </c>
      <c r="P67" s="30">
        <v>1957344.4</v>
      </c>
      <c r="Q67" s="30">
        <v>1178928.4099999999</v>
      </c>
      <c r="R67" s="30">
        <v>778415.99</v>
      </c>
    </row>
    <row r="68" spans="1:18" x14ac:dyDescent="0.3">
      <c r="A68" t="s">
        <v>25</v>
      </c>
      <c r="B68" t="s">
        <v>88</v>
      </c>
      <c r="C68" t="s">
        <v>35</v>
      </c>
      <c r="D68" t="s">
        <v>119</v>
      </c>
      <c r="E68" t="s">
        <v>112</v>
      </c>
      <c r="F68" s="12">
        <v>41098</v>
      </c>
      <c r="G68" s="1">
        <v>228944623</v>
      </c>
      <c r="H68" s="12">
        <v>41099</v>
      </c>
      <c r="I68" s="1">
        <f t="shared" si="4"/>
        <v>2012</v>
      </c>
      <c r="J68" s="1">
        <f t="shared" si="5"/>
        <v>7</v>
      </c>
      <c r="K68" s="1" t="str">
        <f t="shared" si="6"/>
        <v>Jul</v>
      </c>
      <c r="L68" s="1">
        <f t="shared" si="7"/>
        <v>1</v>
      </c>
      <c r="M68" s="1">
        <v>8656</v>
      </c>
      <c r="N68" s="31">
        <v>81.73</v>
      </c>
      <c r="O68" s="31">
        <v>56.67</v>
      </c>
      <c r="P68" s="30">
        <v>707454.88</v>
      </c>
      <c r="Q68" s="30">
        <v>490535.52</v>
      </c>
      <c r="R68" s="30">
        <v>216919.36</v>
      </c>
    </row>
    <row r="69" spans="1:18" x14ac:dyDescent="0.3">
      <c r="A69" t="s">
        <v>18</v>
      </c>
      <c r="B69" t="s">
        <v>89</v>
      </c>
      <c r="C69" t="s">
        <v>40</v>
      </c>
      <c r="D69" t="s">
        <v>119</v>
      </c>
      <c r="E69" t="s">
        <v>114</v>
      </c>
      <c r="F69" s="12">
        <v>42576</v>
      </c>
      <c r="G69" s="1">
        <v>807025039</v>
      </c>
      <c r="H69" s="12">
        <v>42620</v>
      </c>
      <c r="I69" s="1">
        <f t="shared" si="4"/>
        <v>2016</v>
      </c>
      <c r="J69" s="1">
        <f t="shared" si="5"/>
        <v>7</v>
      </c>
      <c r="K69" s="1" t="str">
        <f t="shared" si="6"/>
        <v>Jul</v>
      </c>
      <c r="L69" s="1">
        <f t="shared" si="7"/>
        <v>44</v>
      </c>
      <c r="M69" s="1">
        <v>5498</v>
      </c>
      <c r="N69" s="31">
        <v>109.28</v>
      </c>
      <c r="O69" s="31">
        <v>35.840000000000003</v>
      </c>
      <c r="P69" s="30">
        <v>600821.43999999994</v>
      </c>
      <c r="Q69" s="30">
        <v>197048.32000000001</v>
      </c>
      <c r="R69" s="30">
        <v>403773.12</v>
      </c>
    </row>
    <row r="70" spans="1:18" x14ac:dyDescent="0.3">
      <c r="A70" t="s">
        <v>22</v>
      </c>
      <c r="B70" t="s">
        <v>90</v>
      </c>
      <c r="C70" t="s">
        <v>24</v>
      </c>
      <c r="D70" t="s">
        <v>119</v>
      </c>
      <c r="E70" t="s">
        <v>113</v>
      </c>
      <c r="F70" s="12">
        <v>40475</v>
      </c>
      <c r="G70" s="1">
        <v>166460740</v>
      </c>
      <c r="H70" s="12">
        <v>40499</v>
      </c>
      <c r="I70" s="1">
        <f t="shared" si="4"/>
        <v>2010</v>
      </c>
      <c r="J70" s="1">
        <f t="shared" si="5"/>
        <v>10</v>
      </c>
      <c r="K70" s="1" t="str">
        <f t="shared" si="6"/>
        <v>Oct</v>
      </c>
      <c r="L70" s="1">
        <f t="shared" si="7"/>
        <v>24</v>
      </c>
      <c r="M70" s="1">
        <v>8287</v>
      </c>
      <c r="N70" s="31">
        <v>651.21</v>
      </c>
      <c r="O70" s="31">
        <v>524.96</v>
      </c>
      <c r="P70" s="30">
        <v>5396577.2699999996</v>
      </c>
      <c r="Q70" s="30">
        <v>4350343.5199999996</v>
      </c>
      <c r="R70" s="30">
        <v>1046233.75</v>
      </c>
    </row>
    <row r="71" spans="1:18" x14ac:dyDescent="0.3">
      <c r="A71" t="s">
        <v>25</v>
      </c>
      <c r="B71" t="s">
        <v>91</v>
      </c>
      <c r="C71" t="s">
        <v>40</v>
      </c>
      <c r="D71" t="s">
        <v>119</v>
      </c>
      <c r="E71" t="s">
        <v>112</v>
      </c>
      <c r="F71" s="12">
        <v>42119</v>
      </c>
      <c r="G71" s="1">
        <v>610425555</v>
      </c>
      <c r="H71" s="12">
        <v>42152</v>
      </c>
      <c r="I71" s="1">
        <f t="shared" si="4"/>
        <v>2015</v>
      </c>
      <c r="J71" s="1">
        <f t="shared" si="5"/>
        <v>4</v>
      </c>
      <c r="K71" s="1" t="str">
        <f t="shared" si="6"/>
        <v>Apr</v>
      </c>
      <c r="L71" s="1">
        <f t="shared" si="7"/>
        <v>33</v>
      </c>
      <c r="M71" s="1">
        <v>7342</v>
      </c>
      <c r="N71" s="31">
        <v>109.28</v>
      </c>
      <c r="O71" s="31">
        <v>35.840000000000003</v>
      </c>
      <c r="P71" s="30">
        <v>802333.76</v>
      </c>
      <c r="Q71" s="30">
        <v>263137.28000000003</v>
      </c>
      <c r="R71" s="30">
        <v>539196.48</v>
      </c>
    </row>
    <row r="72" spans="1:18" x14ac:dyDescent="0.3">
      <c r="A72" t="s">
        <v>37</v>
      </c>
      <c r="B72" t="s">
        <v>49</v>
      </c>
      <c r="C72" t="s">
        <v>24</v>
      </c>
      <c r="D72" t="s">
        <v>120</v>
      </c>
      <c r="E72" t="s">
        <v>114</v>
      </c>
      <c r="F72" s="12">
        <v>41387</v>
      </c>
      <c r="G72" s="1">
        <v>462405812</v>
      </c>
      <c r="H72" s="12">
        <v>41414</v>
      </c>
      <c r="I72" s="1">
        <f t="shared" si="4"/>
        <v>2013</v>
      </c>
      <c r="J72" s="1">
        <f t="shared" si="5"/>
        <v>4</v>
      </c>
      <c r="K72" s="1" t="str">
        <f t="shared" si="6"/>
        <v>Apr</v>
      </c>
      <c r="L72" s="1">
        <f t="shared" si="7"/>
        <v>27</v>
      </c>
      <c r="M72" s="1">
        <v>5010</v>
      </c>
      <c r="N72" s="31">
        <v>651.21</v>
      </c>
      <c r="O72" s="31">
        <v>524.96</v>
      </c>
      <c r="P72" s="30">
        <v>3262562.1</v>
      </c>
      <c r="Q72" s="30">
        <v>2630049.6</v>
      </c>
      <c r="R72" s="30">
        <v>632512.5</v>
      </c>
    </row>
    <row r="73" spans="1:18" x14ac:dyDescent="0.3">
      <c r="A73" t="s">
        <v>67</v>
      </c>
      <c r="B73" t="s">
        <v>86</v>
      </c>
      <c r="C73" t="s">
        <v>27</v>
      </c>
      <c r="D73" t="s">
        <v>120</v>
      </c>
      <c r="E73" t="s">
        <v>112</v>
      </c>
      <c r="F73" s="12">
        <v>42230</v>
      </c>
      <c r="G73" s="1">
        <v>816200339</v>
      </c>
      <c r="H73" s="12">
        <v>42277</v>
      </c>
      <c r="I73" s="1">
        <f t="shared" si="4"/>
        <v>2015</v>
      </c>
      <c r="J73" s="1">
        <f t="shared" si="5"/>
        <v>8</v>
      </c>
      <c r="K73" s="1" t="str">
        <f t="shared" si="6"/>
        <v>Aug</v>
      </c>
      <c r="L73" s="1">
        <f t="shared" si="7"/>
        <v>47</v>
      </c>
      <c r="M73" s="1">
        <v>673</v>
      </c>
      <c r="N73" s="31">
        <v>9.33</v>
      </c>
      <c r="O73" s="31">
        <v>6.92</v>
      </c>
      <c r="P73" s="30">
        <v>6279.09</v>
      </c>
      <c r="Q73" s="30">
        <v>4657.16</v>
      </c>
      <c r="R73" s="30">
        <v>1621.93</v>
      </c>
    </row>
    <row r="74" spans="1:18" x14ac:dyDescent="0.3">
      <c r="A74" t="s">
        <v>25</v>
      </c>
      <c r="B74" t="s">
        <v>92</v>
      </c>
      <c r="C74" t="s">
        <v>48</v>
      </c>
      <c r="D74" t="s">
        <v>120</v>
      </c>
      <c r="E74" t="s">
        <v>111</v>
      </c>
      <c r="F74" s="12">
        <v>40689</v>
      </c>
      <c r="G74" s="1">
        <v>585920464</v>
      </c>
      <c r="H74" s="12">
        <v>40739</v>
      </c>
      <c r="I74" s="1">
        <f t="shared" si="4"/>
        <v>2011</v>
      </c>
      <c r="J74" s="1">
        <f t="shared" si="5"/>
        <v>5</v>
      </c>
      <c r="K74" s="1" t="str">
        <f t="shared" si="6"/>
        <v>May</v>
      </c>
      <c r="L74" s="1">
        <f t="shared" si="7"/>
        <v>50</v>
      </c>
      <c r="M74" s="1">
        <v>5741</v>
      </c>
      <c r="N74" s="31">
        <v>47.45</v>
      </c>
      <c r="O74" s="31">
        <v>31.79</v>
      </c>
      <c r="P74" s="30">
        <v>272410.45</v>
      </c>
      <c r="Q74" s="30">
        <v>182506.39</v>
      </c>
      <c r="R74" s="30">
        <v>89904.06</v>
      </c>
    </row>
    <row r="75" spans="1:18" x14ac:dyDescent="0.3">
      <c r="A75" t="s">
        <v>25</v>
      </c>
      <c r="B75" t="s">
        <v>65</v>
      </c>
      <c r="C75" t="s">
        <v>20</v>
      </c>
      <c r="D75" t="s">
        <v>120</v>
      </c>
      <c r="E75" t="s">
        <v>113</v>
      </c>
      <c r="F75" s="12">
        <v>42875</v>
      </c>
      <c r="G75" s="1">
        <v>555990016</v>
      </c>
      <c r="H75" s="12">
        <v>42903</v>
      </c>
      <c r="I75" s="1">
        <f t="shared" si="4"/>
        <v>2017</v>
      </c>
      <c r="J75" s="1">
        <f t="shared" si="5"/>
        <v>5</v>
      </c>
      <c r="K75" s="1" t="str">
        <f t="shared" si="6"/>
        <v>May</v>
      </c>
      <c r="L75" s="1">
        <f t="shared" si="7"/>
        <v>28</v>
      </c>
      <c r="M75" s="1">
        <v>8656</v>
      </c>
      <c r="N75" s="31">
        <v>205.7</v>
      </c>
      <c r="O75" s="31">
        <v>117.11</v>
      </c>
      <c r="P75" s="30">
        <v>1780539.2</v>
      </c>
      <c r="Q75" s="30">
        <v>1013704.16</v>
      </c>
      <c r="R75" s="30">
        <v>766835.04</v>
      </c>
    </row>
    <row r="76" spans="1:18" x14ac:dyDescent="0.3">
      <c r="A76" t="s">
        <v>67</v>
      </c>
      <c r="B76" t="s">
        <v>93</v>
      </c>
      <c r="C76" t="s">
        <v>46</v>
      </c>
      <c r="D76" t="s">
        <v>119</v>
      </c>
      <c r="E76" t="s">
        <v>112</v>
      </c>
      <c r="F76" s="12">
        <v>41460</v>
      </c>
      <c r="G76" s="1">
        <v>231145322</v>
      </c>
      <c r="H76" s="12">
        <v>41502</v>
      </c>
      <c r="I76" s="1">
        <f t="shared" si="4"/>
        <v>2013</v>
      </c>
      <c r="J76" s="1">
        <f t="shared" si="5"/>
        <v>7</v>
      </c>
      <c r="K76" s="1" t="str">
        <f t="shared" si="6"/>
        <v>Jul</v>
      </c>
      <c r="L76" s="1">
        <f t="shared" si="7"/>
        <v>42</v>
      </c>
      <c r="M76" s="1">
        <v>9892</v>
      </c>
      <c r="N76" s="31">
        <v>437.2</v>
      </c>
      <c r="O76" s="31">
        <v>263.33</v>
      </c>
      <c r="P76" s="30">
        <v>4324782.4000000004</v>
      </c>
      <c r="Q76" s="30">
        <v>2604860.36</v>
      </c>
      <c r="R76" s="30">
        <v>1719922.04</v>
      </c>
    </row>
    <row r="77" spans="1:18" x14ac:dyDescent="0.3">
      <c r="A77" t="s">
        <v>94</v>
      </c>
      <c r="B77" t="s">
        <v>95</v>
      </c>
      <c r="C77" t="s">
        <v>31</v>
      </c>
      <c r="D77" t="s">
        <v>119</v>
      </c>
      <c r="E77" t="s">
        <v>111</v>
      </c>
      <c r="F77" s="12">
        <v>41949</v>
      </c>
      <c r="G77" s="1">
        <v>986435210</v>
      </c>
      <c r="H77" s="12">
        <v>41985</v>
      </c>
      <c r="I77" s="1">
        <f t="shared" si="4"/>
        <v>2014</v>
      </c>
      <c r="J77" s="1">
        <f t="shared" si="5"/>
        <v>11</v>
      </c>
      <c r="K77" s="1" t="str">
        <f t="shared" si="6"/>
        <v>Nov</v>
      </c>
      <c r="L77" s="1">
        <f t="shared" si="7"/>
        <v>36</v>
      </c>
      <c r="M77" s="1">
        <v>6954</v>
      </c>
      <c r="N77" s="31">
        <v>668.27</v>
      </c>
      <c r="O77" s="31">
        <v>502.54</v>
      </c>
      <c r="P77" s="30">
        <v>4647149.58</v>
      </c>
      <c r="Q77" s="30">
        <v>3494663.16</v>
      </c>
      <c r="R77" s="30">
        <v>1152486.42</v>
      </c>
    </row>
    <row r="78" spans="1:18" x14ac:dyDescent="0.3">
      <c r="A78" t="s">
        <v>14</v>
      </c>
      <c r="B78" t="s">
        <v>96</v>
      </c>
      <c r="C78" t="s">
        <v>48</v>
      </c>
      <c r="D78" t="s">
        <v>120</v>
      </c>
      <c r="E78" t="s">
        <v>111</v>
      </c>
      <c r="F78" s="12">
        <v>41940</v>
      </c>
      <c r="G78" s="1">
        <v>217221009</v>
      </c>
      <c r="H78" s="12">
        <v>41958</v>
      </c>
      <c r="I78" s="1">
        <f t="shared" si="4"/>
        <v>2014</v>
      </c>
      <c r="J78" s="1">
        <f t="shared" si="5"/>
        <v>10</v>
      </c>
      <c r="K78" s="1" t="str">
        <f t="shared" si="6"/>
        <v>Oct</v>
      </c>
      <c r="L78" s="1">
        <f t="shared" si="7"/>
        <v>18</v>
      </c>
      <c r="M78" s="1">
        <v>9379</v>
      </c>
      <c r="N78" s="31">
        <v>47.45</v>
      </c>
      <c r="O78" s="31">
        <v>31.79</v>
      </c>
      <c r="P78" s="30">
        <v>445033.55</v>
      </c>
      <c r="Q78" s="30">
        <v>298158.40999999997</v>
      </c>
      <c r="R78" s="30">
        <v>146875.14000000001</v>
      </c>
    </row>
    <row r="79" spans="1:18" x14ac:dyDescent="0.3">
      <c r="A79" t="s">
        <v>37</v>
      </c>
      <c r="B79" t="s">
        <v>97</v>
      </c>
      <c r="C79" t="s">
        <v>33</v>
      </c>
      <c r="D79" t="s">
        <v>119</v>
      </c>
      <c r="E79" t="s">
        <v>111</v>
      </c>
      <c r="F79" s="12">
        <v>40801</v>
      </c>
      <c r="G79" s="1">
        <v>789176547</v>
      </c>
      <c r="H79" s="12">
        <v>40839</v>
      </c>
      <c r="I79" s="1">
        <f t="shared" si="4"/>
        <v>2011</v>
      </c>
      <c r="J79" s="1">
        <f t="shared" si="5"/>
        <v>9</v>
      </c>
      <c r="K79" s="1" t="str">
        <f t="shared" si="6"/>
        <v>Sep</v>
      </c>
      <c r="L79" s="1">
        <f t="shared" si="7"/>
        <v>38</v>
      </c>
      <c r="M79" s="1">
        <v>3732</v>
      </c>
      <c r="N79" s="31">
        <v>154.06</v>
      </c>
      <c r="O79" s="31">
        <v>90.93</v>
      </c>
      <c r="P79" s="30">
        <v>574951.92000000004</v>
      </c>
      <c r="Q79" s="30">
        <v>339350.76</v>
      </c>
      <c r="R79" s="30">
        <v>235601.16</v>
      </c>
    </row>
    <row r="80" spans="1:18" x14ac:dyDescent="0.3">
      <c r="A80" t="s">
        <v>22</v>
      </c>
      <c r="B80" t="s">
        <v>98</v>
      </c>
      <c r="C80" t="s">
        <v>16</v>
      </c>
      <c r="D80" t="s">
        <v>119</v>
      </c>
      <c r="E80" t="s">
        <v>113</v>
      </c>
      <c r="F80" s="12">
        <v>41058</v>
      </c>
      <c r="G80" s="1">
        <v>688288152</v>
      </c>
      <c r="H80" s="12">
        <v>41062</v>
      </c>
      <c r="I80" s="1">
        <f t="shared" si="4"/>
        <v>2012</v>
      </c>
      <c r="J80" s="1">
        <f t="shared" si="5"/>
        <v>5</v>
      </c>
      <c r="K80" s="1" t="str">
        <f t="shared" si="6"/>
        <v>May</v>
      </c>
      <c r="L80" s="1">
        <f t="shared" si="7"/>
        <v>4</v>
      </c>
      <c r="M80" s="1">
        <v>8614</v>
      </c>
      <c r="N80" s="31">
        <v>255.28</v>
      </c>
      <c r="O80" s="31">
        <v>159.41999999999999</v>
      </c>
      <c r="P80" s="30">
        <v>2198981.92</v>
      </c>
      <c r="Q80" s="30">
        <v>1373243.88</v>
      </c>
      <c r="R80" s="30">
        <v>825738.04</v>
      </c>
    </row>
    <row r="81" spans="1:18" x14ac:dyDescent="0.3">
      <c r="A81" t="s">
        <v>14</v>
      </c>
      <c r="B81" t="s">
        <v>99</v>
      </c>
      <c r="C81" t="s">
        <v>46</v>
      </c>
      <c r="D81" t="s">
        <v>120</v>
      </c>
      <c r="E81" t="s">
        <v>113</v>
      </c>
      <c r="F81" s="12">
        <v>41475</v>
      </c>
      <c r="G81" s="1">
        <v>670854651</v>
      </c>
      <c r="H81" s="12">
        <v>41493</v>
      </c>
      <c r="I81" s="1">
        <f t="shared" si="4"/>
        <v>2013</v>
      </c>
      <c r="J81" s="1">
        <f t="shared" si="5"/>
        <v>7</v>
      </c>
      <c r="K81" s="1" t="str">
        <f t="shared" si="6"/>
        <v>Jul</v>
      </c>
      <c r="L81" s="1">
        <f t="shared" si="7"/>
        <v>18</v>
      </c>
      <c r="M81" s="1">
        <v>9654</v>
      </c>
      <c r="N81" s="31">
        <v>437.2</v>
      </c>
      <c r="O81" s="31">
        <v>263.33</v>
      </c>
      <c r="P81" s="30">
        <v>4220728.8</v>
      </c>
      <c r="Q81" s="30">
        <v>2542187.8199999998</v>
      </c>
      <c r="R81" s="30">
        <v>1678540.98</v>
      </c>
    </row>
    <row r="82" spans="1:18" x14ac:dyDescent="0.3">
      <c r="A82" t="s">
        <v>22</v>
      </c>
      <c r="B82" t="s">
        <v>100</v>
      </c>
      <c r="C82" t="s">
        <v>31</v>
      </c>
      <c r="D82" t="s">
        <v>119</v>
      </c>
      <c r="E82" t="s">
        <v>112</v>
      </c>
      <c r="F82" s="12">
        <v>41203</v>
      </c>
      <c r="G82" s="1">
        <v>213487374</v>
      </c>
      <c r="H82" s="12">
        <v>41243</v>
      </c>
      <c r="I82" s="1">
        <f t="shared" si="4"/>
        <v>2012</v>
      </c>
      <c r="J82" s="1">
        <f t="shared" si="5"/>
        <v>10</v>
      </c>
      <c r="K82" s="1" t="str">
        <f t="shared" si="6"/>
        <v>Oct</v>
      </c>
      <c r="L82" s="1">
        <f t="shared" si="7"/>
        <v>40</v>
      </c>
      <c r="M82" s="1">
        <v>4513</v>
      </c>
      <c r="N82" s="31">
        <v>668.27</v>
      </c>
      <c r="O82" s="31">
        <v>502.54</v>
      </c>
      <c r="P82" s="30">
        <v>3015902.51</v>
      </c>
      <c r="Q82" s="30">
        <v>2267963.02</v>
      </c>
      <c r="R82" s="30">
        <v>747939.49</v>
      </c>
    </row>
    <row r="83" spans="1:18" x14ac:dyDescent="0.3">
      <c r="A83" t="s">
        <v>67</v>
      </c>
      <c r="B83" t="s">
        <v>101</v>
      </c>
      <c r="C83" t="s">
        <v>40</v>
      </c>
      <c r="D83" t="s">
        <v>120</v>
      </c>
      <c r="E83" t="s">
        <v>112</v>
      </c>
      <c r="F83" s="12">
        <v>41170</v>
      </c>
      <c r="G83" s="1">
        <v>663110148</v>
      </c>
      <c r="H83" s="12">
        <v>41190</v>
      </c>
      <c r="I83" s="1">
        <f t="shared" si="4"/>
        <v>2012</v>
      </c>
      <c r="J83" s="1">
        <f t="shared" si="5"/>
        <v>9</v>
      </c>
      <c r="K83" s="1" t="str">
        <f t="shared" si="6"/>
        <v>Sep</v>
      </c>
      <c r="L83" s="1">
        <f t="shared" si="7"/>
        <v>20</v>
      </c>
      <c r="M83" s="1">
        <v>7884</v>
      </c>
      <c r="N83" s="31">
        <v>109.28</v>
      </c>
      <c r="O83" s="31">
        <v>35.840000000000003</v>
      </c>
      <c r="P83" s="30">
        <v>861563.52</v>
      </c>
      <c r="Q83" s="30">
        <v>282562.56</v>
      </c>
      <c r="R83" s="30">
        <v>579000.96</v>
      </c>
    </row>
    <row r="84" spans="1:18" x14ac:dyDescent="0.3">
      <c r="A84" t="s">
        <v>67</v>
      </c>
      <c r="B84" t="s">
        <v>102</v>
      </c>
      <c r="C84" t="s">
        <v>46</v>
      </c>
      <c r="D84" t="s">
        <v>120</v>
      </c>
      <c r="E84" t="s">
        <v>113</v>
      </c>
      <c r="F84" s="12">
        <v>42689</v>
      </c>
      <c r="G84" s="1">
        <v>286959302</v>
      </c>
      <c r="H84" s="12">
        <v>42712</v>
      </c>
      <c r="I84" s="1">
        <f t="shared" si="4"/>
        <v>2016</v>
      </c>
      <c r="J84" s="1">
        <f t="shared" si="5"/>
        <v>11</v>
      </c>
      <c r="K84" s="1" t="str">
        <f t="shared" si="6"/>
        <v>Nov</v>
      </c>
      <c r="L84" s="1">
        <f t="shared" si="7"/>
        <v>23</v>
      </c>
      <c r="M84" s="1">
        <v>6489</v>
      </c>
      <c r="N84" s="31">
        <v>437.2</v>
      </c>
      <c r="O84" s="31">
        <v>263.33</v>
      </c>
      <c r="P84" s="30">
        <v>2836990.8</v>
      </c>
      <c r="Q84" s="30">
        <v>1708748.37</v>
      </c>
      <c r="R84" s="30">
        <v>1128242.43</v>
      </c>
    </row>
    <row r="85" spans="1:18" x14ac:dyDescent="0.3">
      <c r="A85" t="s">
        <v>25</v>
      </c>
      <c r="B85" t="s">
        <v>103</v>
      </c>
      <c r="C85" t="s">
        <v>54</v>
      </c>
      <c r="D85" t="s">
        <v>120</v>
      </c>
      <c r="E85" t="s">
        <v>112</v>
      </c>
      <c r="F85" s="12">
        <v>40547</v>
      </c>
      <c r="G85" s="1">
        <v>122583663</v>
      </c>
      <c r="H85" s="12">
        <v>40548</v>
      </c>
      <c r="I85" s="1">
        <f t="shared" si="4"/>
        <v>2011</v>
      </c>
      <c r="J85" s="1">
        <f t="shared" si="5"/>
        <v>1</v>
      </c>
      <c r="K85" s="1" t="str">
        <f t="shared" si="6"/>
        <v>Jan</v>
      </c>
      <c r="L85" s="1">
        <f t="shared" si="7"/>
        <v>1</v>
      </c>
      <c r="M85" s="1">
        <v>4085</v>
      </c>
      <c r="N85" s="31">
        <v>152.58000000000001</v>
      </c>
      <c r="O85" s="31">
        <v>97.44</v>
      </c>
      <c r="P85" s="30">
        <v>623289.30000000005</v>
      </c>
      <c r="Q85" s="30">
        <v>398042.4</v>
      </c>
      <c r="R85" s="30">
        <v>225246.9</v>
      </c>
    </row>
    <row r="86" spans="1:18" x14ac:dyDescent="0.3">
      <c r="A86" t="s">
        <v>25</v>
      </c>
      <c r="B86" t="s">
        <v>104</v>
      </c>
      <c r="C86" t="s">
        <v>33</v>
      </c>
      <c r="D86" t="s">
        <v>120</v>
      </c>
      <c r="E86" t="s">
        <v>112</v>
      </c>
      <c r="F86" s="12">
        <v>40986</v>
      </c>
      <c r="G86" s="1">
        <v>827844560</v>
      </c>
      <c r="H86" s="12">
        <v>41006</v>
      </c>
      <c r="I86" s="1">
        <f t="shared" si="4"/>
        <v>2012</v>
      </c>
      <c r="J86" s="1">
        <f t="shared" si="5"/>
        <v>3</v>
      </c>
      <c r="K86" s="1" t="str">
        <f t="shared" si="6"/>
        <v>Mar</v>
      </c>
      <c r="L86" s="1">
        <f t="shared" si="7"/>
        <v>20</v>
      </c>
      <c r="M86" s="1">
        <v>6457</v>
      </c>
      <c r="N86" s="31">
        <v>154.06</v>
      </c>
      <c r="O86" s="31">
        <v>90.93</v>
      </c>
      <c r="P86" s="30">
        <v>994765.42</v>
      </c>
      <c r="Q86" s="30">
        <v>587135.01</v>
      </c>
      <c r="R86" s="30">
        <v>407630.41</v>
      </c>
    </row>
    <row r="87" spans="1:18" x14ac:dyDescent="0.3">
      <c r="A87" t="s">
        <v>94</v>
      </c>
      <c r="B87" t="s">
        <v>95</v>
      </c>
      <c r="C87" t="s">
        <v>35</v>
      </c>
      <c r="D87" t="s">
        <v>119</v>
      </c>
      <c r="E87" t="s">
        <v>112</v>
      </c>
      <c r="F87" s="12">
        <v>40956</v>
      </c>
      <c r="G87" s="1">
        <v>430915820</v>
      </c>
      <c r="H87" s="12">
        <v>40988</v>
      </c>
      <c r="I87" s="1">
        <f t="shared" si="4"/>
        <v>2012</v>
      </c>
      <c r="J87" s="1">
        <f t="shared" si="5"/>
        <v>2</v>
      </c>
      <c r="K87" s="1" t="str">
        <f t="shared" si="6"/>
        <v>Feb</v>
      </c>
      <c r="L87" s="1">
        <f t="shared" si="7"/>
        <v>32</v>
      </c>
      <c r="M87" s="1">
        <v>6422</v>
      </c>
      <c r="N87" s="31">
        <v>81.73</v>
      </c>
      <c r="O87" s="31">
        <v>56.67</v>
      </c>
      <c r="P87" s="30">
        <v>524870.06000000006</v>
      </c>
      <c r="Q87" s="30">
        <v>363934.74</v>
      </c>
      <c r="R87" s="30">
        <v>160935.32</v>
      </c>
    </row>
    <row r="88" spans="1:18" x14ac:dyDescent="0.3">
      <c r="A88" t="s">
        <v>25</v>
      </c>
      <c r="B88" t="s">
        <v>26</v>
      </c>
      <c r="C88" t="s">
        <v>48</v>
      </c>
      <c r="D88" t="s">
        <v>119</v>
      </c>
      <c r="E88" t="s">
        <v>111</v>
      </c>
      <c r="F88" s="12">
        <v>40559</v>
      </c>
      <c r="G88" s="1">
        <v>180283772</v>
      </c>
      <c r="H88" s="12">
        <v>40564</v>
      </c>
      <c r="I88" s="1">
        <f t="shared" si="4"/>
        <v>2011</v>
      </c>
      <c r="J88" s="1">
        <f t="shared" si="5"/>
        <v>1</v>
      </c>
      <c r="K88" s="1" t="str">
        <f t="shared" si="6"/>
        <v>Jan</v>
      </c>
      <c r="L88" s="1">
        <f t="shared" si="7"/>
        <v>5</v>
      </c>
      <c r="M88" s="1">
        <v>8829</v>
      </c>
      <c r="N88" s="31">
        <v>47.45</v>
      </c>
      <c r="O88" s="31">
        <v>31.79</v>
      </c>
      <c r="P88" s="30">
        <v>418936.05</v>
      </c>
      <c r="Q88" s="30">
        <v>280673.90999999997</v>
      </c>
      <c r="R88" s="30">
        <v>138262.14000000001</v>
      </c>
    </row>
    <row r="89" spans="1:18" x14ac:dyDescent="0.3">
      <c r="A89" t="s">
        <v>25</v>
      </c>
      <c r="B89" t="s">
        <v>60</v>
      </c>
      <c r="C89" t="s">
        <v>16</v>
      </c>
      <c r="D89" t="s">
        <v>119</v>
      </c>
      <c r="E89" t="s">
        <v>114</v>
      </c>
      <c r="F89" s="12">
        <v>41673</v>
      </c>
      <c r="G89" s="1">
        <v>494747245</v>
      </c>
      <c r="H89" s="12">
        <v>41718</v>
      </c>
      <c r="I89" s="1">
        <f t="shared" si="4"/>
        <v>2014</v>
      </c>
      <c r="J89" s="1">
        <f t="shared" si="5"/>
        <v>2</v>
      </c>
      <c r="K89" s="1" t="str">
        <f t="shared" si="6"/>
        <v>Feb</v>
      </c>
      <c r="L89" s="1">
        <f t="shared" si="7"/>
        <v>45</v>
      </c>
      <c r="M89" s="1">
        <v>5559</v>
      </c>
      <c r="N89" s="31">
        <v>255.28</v>
      </c>
      <c r="O89" s="31">
        <v>159.41999999999999</v>
      </c>
      <c r="P89" s="30">
        <v>1419101.52</v>
      </c>
      <c r="Q89" s="30">
        <v>886215.78</v>
      </c>
      <c r="R89" s="30">
        <v>532885.74</v>
      </c>
    </row>
    <row r="90" spans="1:18" x14ac:dyDescent="0.3">
      <c r="A90" t="s">
        <v>67</v>
      </c>
      <c r="B90" t="s">
        <v>105</v>
      </c>
      <c r="C90" t="s">
        <v>27</v>
      </c>
      <c r="D90" t="s">
        <v>120</v>
      </c>
      <c r="E90" t="s">
        <v>114</v>
      </c>
      <c r="F90" s="12">
        <v>41029</v>
      </c>
      <c r="G90" s="1">
        <v>513417565</v>
      </c>
      <c r="H90" s="12">
        <v>41047</v>
      </c>
      <c r="I90" s="1">
        <f t="shared" si="4"/>
        <v>2012</v>
      </c>
      <c r="J90" s="1">
        <f t="shared" si="5"/>
        <v>4</v>
      </c>
      <c r="K90" s="1" t="str">
        <f t="shared" si="6"/>
        <v>Apr</v>
      </c>
      <c r="L90" s="1">
        <f t="shared" si="7"/>
        <v>18</v>
      </c>
      <c r="M90" s="1">
        <v>522</v>
      </c>
      <c r="N90" s="31">
        <v>9.33</v>
      </c>
      <c r="O90" s="31">
        <v>6.92</v>
      </c>
      <c r="P90" s="30">
        <v>4870.26</v>
      </c>
      <c r="Q90" s="30">
        <v>3612.24</v>
      </c>
      <c r="R90" s="30">
        <v>1258.02</v>
      </c>
    </row>
    <row r="91" spans="1:18" x14ac:dyDescent="0.3">
      <c r="A91" t="s">
        <v>22</v>
      </c>
      <c r="B91" t="s">
        <v>106</v>
      </c>
      <c r="C91" t="s">
        <v>48</v>
      </c>
      <c r="D91" t="s">
        <v>119</v>
      </c>
      <c r="E91" t="s">
        <v>111</v>
      </c>
      <c r="F91" s="12">
        <v>42666</v>
      </c>
      <c r="G91" s="1">
        <v>345718562</v>
      </c>
      <c r="H91" s="12">
        <v>42699</v>
      </c>
      <c r="I91" s="1">
        <f t="shared" si="4"/>
        <v>2016</v>
      </c>
      <c r="J91" s="1">
        <f t="shared" si="5"/>
        <v>10</v>
      </c>
      <c r="K91" s="1" t="str">
        <f t="shared" si="6"/>
        <v>Oct</v>
      </c>
      <c r="L91" s="1">
        <f t="shared" si="7"/>
        <v>33</v>
      </c>
      <c r="M91" s="1">
        <v>4660</v>
      </c>
      <c r="N91" s="31">
        <v>47.45</v>
      </c>
      <c r="O91" s="31">
        <v>31.79</v>
      </c>
      <c r="P91" s="30">
        <v>221117</v>
      </c>
      <c r="Q91" s="30">
        <v>148141.4</v>
      </c>
      <c r="R91" s="30">
        <v>72975.600000000006</v>
      </c>
    </row>
    <row r="92" spans="1:18" x14ac:dyDescent="0.3">
      <c r="A92" t="s">
        <v>25</v>
      </c>
      <c r="B92" t="s">
        <v>80</v>
      </c>
      <c r="C92" t="s">
        <v>24</v>
      </c>
      <c r="D92" t="s">
        <v>119</v>
      </c>
      <c r="E92" t="s">
        <v>113</v>
      </c>
      <c r="F92" s="12">
        <v>42710</v>
      </c>
      <c r="G92" s="1">
        <v>621386563</v>
      </c>
      <c r="H92" s="12">
        <v>42718</v>
      </c>
      <c r="I92" s="1">
        <f t="shared" si="4"/>
        <v>2016</v>
      </c>
      <c r="J92" s="1">
        <f t="shared" si="5"/>
        <v>12</v>
      </c>
      <c r="K92" s="1" t="str">
        <f t="shared" si="6"/>
        <v>Dec</v>
      </c>
      <c r="L92" s="1">
        <f t="shared" si="7"/>
        <v>8</v>
      </c>
      <c r="M92" s="1">
        <v>948</v>
      </c>
      <c r="N92" s="31">
        <v>651.21</v>
      </c>
      <c r="O92" s="31">
        <v>524.96</v>
      </c>
      <c r="P92" s="30">
        <v>617347.07999999996</v>
      </c>
      <c r="Q92" s="30">
        <v>497662.08</v>
      </c>
      <c r="R92" s="30">
        <v>119685</v>
      </c>
    </row>
    <row r="93" spans="1:18" x14ac:dyDescent="0.3">
      <c r="A93" t="s">
        <v>14</v>
      </c>
      <c r="B93" t="s">
        <v>63</v>
      </c>
      <c r="C93" t="s">
        <v>48</v>
      </c>
      <c r="D93" t="s">
        <v>119</v>
      </c>
      <c r="E93" t="s">
        <v>113</v>
      </c>
      <c r="F93" s="12">
        <v>41827</v>
      </c>
      <c r="G93" s="1">
        <v>240470397</v>
      </c>
      <c r="H93" s="12">
        <v>41831</v>
      </c>
      <c r="I93" s="1">
        <f t="shared" si="4"/>
        <v>2014</v>
      </c>
      <c r="J93" s="1">
        <f t="shared" si="5"/>
        <v>7</v>
      </c>
      <c r="K93" s="1" t="str">
        <f t="shared" si="6"/>
        <v>Jul</v>
      </c>
      <c r="L93" s="1">
        <f t="shared" si="7"/>
        <v>4</v>
      </c>
      <c r="M93" s="1">
        <v>9389</v>
      </c>
      <c r="N93" s="31">
        <v>47.45</v>
      </c>
      <c r="O93" s="31">
        <v>31.79</v>
      </c>
      <c r="P93" s="30">
        <v>445508.05</v>
      </c>
      <c r="Q93" s="30">
        <v>298476.31</v>
      </c>
      <c r="R93" s="30">
        <v>147031.74</v>
      </c>
    </row>
    <row r="94" spans="1:18" x14ac:dyDescent="0.3">
      <c r="A94" t="s">
        <v>67</v>
      </c>
      <c r="B94" t="s">
        <v>71</v>
      </c>
      <c r="C94" t="s">
        <v>24</v>
      </c>
      <c r="D94" t="s">
        <v>120</v>
      </c>
      <c r="E94" t="s">
        <v>114</v>
      </c>
      <c r="F94" s="12">
        <v>41073</v>
      </c>
      <c r="G94" s="1">
        <v>423331391</v>
      </c>
      <c r="H94" s="12">
        <v>41114</v>
      </c>
      <c r="I94" s="1">
        <f t="shared" si="4"/>
        <v>2012</v>
      </c>
      <c r="J94" s="1">
        <f t="shared" si="5"/>
        <v>6</v>
      </c>
      <c r="K94" s="1" t="str">
        <f t="shared" si="6"/>
        <v>Jun</v>
      </c>
      <c r="L94" s="1">
        <f t="shared" si="7"/>
        <v>41</v>
      </c>
      <c r="M94" s="1">
        <v>2021</v>
      </c>
      <c r="N94" s="31">
        <v>651.21</v>
      </c>
      <c r="O94" s="31">
        <v>524.96</v>
      </c>
      <c r="P94" s="30">
        <v>1316095.4099999999</v>
      </c>
      <c r="Q94" s="30">
        <v>1060944.1599999999</v>
      </c>
      <c r="R94" s="30">
        <v>255151.25</v>
      </c>
    </row>
    <row r="95" spans="1:18" x14ac:dyDescent="0.3">
      <c r="A95" t="s">
        <v>22</v>
      </c>
      <c r="B95" t="s">
        <v>107</v>
      </c>
      <c r="C95" t="s">
        <v>46</v>
      </c>
      <c r="D95" t="s">
        <v>120</v>
      </c>
      <c r="E95" t="s">
        <v>113</v>
      </c>
      <c r="F95" s="12">
        <v>40508</v>
      </c>
      <c r="G95" s="1">
        <v>660643374</v>
      </c>
      <c r="H95" s="12">
        <v>40537</v>
      </c>
      <c r="I95" s="1">
        <f t="shared" si="4"/>
        <v>2010</v>
      </c>
      <c r="J95" s="1">
        <f t="shared" si="5"/>
        <v>11</v>
      </c>
      <c r="K95" s="1" t="str">
        <f t="shared" si="6"/>
        <v>Nov</v>
      </c>
      <c r="L95" s="1">
        <f t="shared" si="7"/>
        <v>29</v>
      </c>
      <c r="M95" s="1">
        <v>7910</v>
      </c>
      <c r="N95" s="31">
        <v>437.2</v>
      </c>
      <c r="O95" s="31">
        <v>263.33</v>
      </c>
      <c r="P95" s="30">
        <v>3458252</v>
      </c>
      <c r="Q95" s="30">
        <v>2082940.3</v>
      </c>
      <c r="R95" s="30">
        <v>1375311.7</v>
      </c>
    </row>
    <row r="96" spans="1:18" x14ac:dyDescent="0.3">
      <c r="A96" t="s">
        <v>18</v>
      </c>
      <c r="B96" t="s">
        <v>108</v>
      </c>
      <c r="C96" t="s">
        <v>48</v>
      </c>
      <c r="D96" t="s">
        <v>119</v>
      </c>
      <c r="E96" t="s">
        <v>111</v>
      </c>
      <c r="F96" s="12">
        <v>40582</v>
      </c>
      <c r="G96" s="1">
        <v>963392674</v>
      </c>
      <c r="H96" s="12">
        <v>40623</v>
      </c>
      <c r="I96" s="1">
        <f t="shared" si="4"/>
        <v>2011</v>
      </c>
      <c r="J96" s="1">
        <f t="shared" si="5"/>
        <v>2</v>
      </c>
      <c r="K96" s="1" t="str">
        <f t="shared" si="6"/>
        <v>Feb</v>
      </c>
      <c r="L96" s="1">
        <f t="shared" si="7"/>
        <v>41</v>
      </c>
      <c r="M96" s="1">
        <v>8156</v>
      </c>
      <c r="N96" s="31">
        <v>47.45</v>
      </c>
      <c r="O96" s="31">
        <v>31.79</v>
      </c>
      <c r="P96" s="30">
        <v>387002.2</v>
      </c>
      <c r="Q96" s="30">
        <v>259279.24</v>
      </c>
      <c r="R96" s="30">
        <v>127722.96</v>
      </c>
    </row>
    <row r="97" spans="1:18" x14ac:dyDescent="0.3">
      <c r="A97" t="s">
        <v>25</v>
      </c>
      <c r="B97" t="s">
        <v>59</v>
      </c>
      <c r="C97" t="s">
        <v>40</v>
      </c>
      <c r="D97" t="s">
        <v>120</v>
      </c>
      <c r="E97" t="s">
        <v>114</v>
      </c>
      <c r="F97" s="12">
        <v>40750</v>
      </c>
      <c r="G97" s="1">
        <v>512878119</v>
      </c>
      <c r="H97" s="12">
        <v>40789</v>
      </c>
      <c r="I97" s="1">
        <f t="shared" si="4"/>
        <v>2011</v>
      </c>
      <c r="J97" s="1">
        <f t="shared" si="5"/>
        <v>7</v>
      </c>
      <c r="K97" s="1" t="str">
        <f t="shared" si="6"/>
        <v>Jul</v>
      </c>
      <c r="L97" s="1">
        <f t="shared" si="7"/>
        <v>39</v>
      </c>
      <c r="M97" s="1">
        <v>888</v>
      </c>
      <c r="N97" s="31">
        <v>109.28</v>
      </c>
      <c r="O97" s="31">
        <v>35.840000000000003</v>
      </c>
      <c r="P97" s="30">
        <v>97040.639999999999</v>
      </c>
      <c r="Q97" s="30">
        <v>31825.919999999998</v>
      </c>
      <c r="R97" s="30">
        <v>65214.720000000001</v>
      </c>
    </row>
    <row r="98" spans="1:18" x14ac:dyDescent="0.3">
      <c r="A98" t="s">
        <v>37</v>
      </c>
      <c r="B98" t="s">
        <v>109</v>
      </c>
      <c r="C98" t="s">
        <v>27</v>
      </c>
      <c r="D98" t="s">
        <v>119</v>
      </c>
      <c r="E98" t="s">
        <v>112</v>
      </c>
      <c r="F98" s="12">
        <v>40858</v>
      </c>
      <c r="G98" s="1">
        <v>810711038</v>
      </c>
      <c r="H98" s="12">
        <v>40905</v>
      </c>
      <c r="I98" s="1">
        <f t="shared" si="4"/>
        <v>2011</v>
      </c>
      <c r="J98" s="1">
        <f t="shared" si="5"/>
        <v>11</v>
      </c>
      <c r="K98" s="1" t="str">
        <f t="shared" si="6"/>
        <v>Nov</v>
      </c>
      <c r="L98" s="1">
        <f t="shared" si="7"/>
        <v>47</v>
      </c>
      <c r="M98" s="1">
        <v>6267</v>
      </c>
      <c r="N98" s="31">
        <v>9.33</v>
      </c>
      <c r="O98" s="31">
        <v>6.92</v>
      </c>
      <c r="P98" s="30">
        <v>58471.11</v>
      </c>
      <c r="Q98" s="30">
        <v>43367.64</v>
      </c>
      <c r="R98" s="30">
        <v>15103.47</v>
      </c>
    </row>
    <row r="99" spans="1:18" x14ac:dyDescent="0.3">
      <c r="A99" t="s">
        <v>25</v>
      </c>
      <c r="B99" t="s">
        <v>80</v>
      </c>
      <c r="C99" t="s">
        <v>33</v>
      </c>
      <c r="D99" t="s">
        <v>119</v>
      </c>
      <c r="E99" t="s">
        <v>111</v>
      </c>
      <c r="F99" s="12">
        <v>42522</v>
      </c>
      <c r="G99" s="1">
        <v>728815257</v>
      </c>
      <c r="H99" s="12">
        <v>42550</v>
      </c>
      <c r="I99" s="1">
        <f t="shared" si="4"/>
        <v>2016</v>
      </c>
      <c r="J99" s="1">
        <f t="shared" si="5"/>
        <v>6</v>
      </c>
      <c r="K99" s="1" t="str">
        <f t="shared" si="6"/>
        <v>Jun</v>
      </c>
      <c r="L99" s="1">
        <f t="shared" si="7"/>
        <v>28</v>
      </c>
      <c r="M99" s="1">
        <v>1485</v>
      </c>
      <c r="N99" s="31">
        <v>154.06</v>
      </c>
      <c r="O99" s="31">
        <v>90.93</v>
      </c>
      <c r="P99" s="30">
        <v>228779.1</v>
      </c>
      <c r="Q99" s="30">
        <v>135031.04999999999</v>
      </c>
      <c r="R99" s="30">
        <v>93748.05</v>
      </c>
    </row>
    <row r="100" spans="1:18" x14ac:dyDescent="0.3">
      <c r="A100" t="s">
        <v>94</v>
      </c>
      <c r="B100" t="s">
        <v>95</v>
      </c>
      <c r="C100" t="s">
        <v>35</v>
      </c>
      <c r="D100" t="s">
        <v>119</v>
      </c>
      <c r="E100" t="s">
        <v>114</v>
      </c>
      <c r="F100" s="12">
        <v>42215</v>
      </c>
      <c r="G100" s="1">
        <v>559427106</v>
      </c>
      <c r="H100" s="12">
        <v>42224</v>
      </c>
      <c r="I100" s="1">
        <f t="shared" si="4"/>
        <v>2015</v>
      </c>
      <c r="J100" s="1">
        <f t="shared" si="5"/>
        <v>7</v>
      </c>
      <c r="K100" s="1" t="str">
        <f t="shared" si="6"/>
        <v>Jul</v>
      </c>
      <c r="L100" s="1">
        <f t="shared" si="7"/>
        <v>9</v>
      </c>
      <c r="M100" s="1">
        <v>5767</v>
      </c>
      <c r="N100" s="31">
        <v>81.73</v>
      </c>
      <c r="O100" s="31">
        <v>56.67</v>
      </c>
      <c r="P100" s="30">
        <v>471336.91</v>
      </c>
      <c r="Q100" s="30">
        <v>326815.89</v>
      </c>
      <c r="R100" s="30">
        <v>144521.01999999999</v>
      </c>
    </row>
    <row r="101" spans="1:18" x14ac:dyDescent="0.3">
      <c r="A101" t="s">
        <v>25</v>
      </c>
      <c r="B101" t="s">
        <v>110</v>
      </c>
      <c r="C101" t="s">
        <v>31</v>
      </c>
      <c r="D101" t="s">
        <v>119</v>
      </c>
      <c r="E101" t="s">
        <v>112</v>
      </c>
      <c r="F101" s="12">
        <v>40949</v>
      </c>
      <c r="G101" s="1">
        <v>665095412</v>
      </c>
      <c r="H101" s="12">
        <v>40954</v>
      </c>
      <c r="I101" s="1">
        <f t="shared" si="4"/>
        <v>2012</v>
      </c>
      <c r="J101" s="1">
        <f t="shared" si="5"/>
        <v>2</v>
      </c>
      <c r="K101" s="1" t="str">
        <f t="shared" si="6"/>
        <v>Feb</v>
      </c>
      <c r="L101" s="1">
        <f t="shared" si="7"/>
        <v>5</v>
      </c>
      <c r="M101" s="1">
        <v>5367</v>
      </c>
      <c r="N101" s="31">
        <v>668.27</v>
      </c>
      <c r="O101" s="31">
        <v>502.54</v>
      </c>
      <c r="P101" s="30">
        <v>3586605.09</v>
      </c>
      <c r="Q101" s="30">
        <v>2697132.18</v>
      </c>
      <c r="R101" s="30">
        <v>889472.91</v>
      </c>
    </row>
    <row r="102" spans="1:18" s="1" customFormat="1" x14ac:dyDescent="0.3">
      <c r="F102" s="12"/>
      <c r="H102" s="12"/>
      <c r="N102" s="31"/>
      <c r="O102" s="31"/>
      <c r="P102" s="30"/>
      <c r="Q102" s="30"/>
      <c r="R102" s="30"/>
    </row>
    <row r="103" spans="1:18" s="1" customFormat="1" x14ac:dyDescent="0.3">
      <c r="F103" s="12"/>
      <c r="H103" s="12"/>
      <c r="N103" s="31"/>
      <c r="O103" s="31"/>
      <c r="P103" s="30"/>
      <c r="Q103" s="30"/>
      <c r="R103" s="30"/>
    </row>
    <row r="104" spans="1:18" s="1" customFormat="1" x14ac:dyDescent="0.3">
      <c r="F104" s="12"/>
      <c r="H104" s="12"/>
      <c r="N104" s="31"/>
      <c r="O104" s="31"/>
      <c r="P104" s="30"/>
      <c r="Q104" s="30"/>
      <c r="R104" s="30"/>
    </row>
    <row r="105" spans="1:18" s="1" customFormat="1" x14ac:dyDescent="0.3">
      <c r="F105" s="12"/>
      <c r="H105" s="12"/>
      <c r="N105" s="31"/>
      <c r="O105" s="31"/>
      <c r="P105" s="30"/>
      <c r="Q105" s="30"/>
      <c r="R105" s="30"/>
    </row>
    <row r="106" spans="1:18" s="1" customFormat="1" x14ac:dyDescent="0.3">
      <c r="F106" s="12"/>
      <c r="H106" s="12"/>
      <c r="N106" s="31"/>
      <c r="O106" s="31"/>
      <c r="P106" s="30"/>
      <c r="Q106" s="30"/>
      <c r="R106" s="30"/>
    </row>
    <row r="107" spans="1:18" s="1" customFormat="1" x14ac:dyDescent="0.3">
      <c r="F107" s="12"/>
      <c r="H107" s="12"/>
      <c r="N107" s="31"/>
      <c r="O107" s="31"/>
      <c r="P107" s="30"/>
      <c r="Q107" s="30"/>
      <c r="R107" s="30"/>
    </row>
    <row r="108" spans="1:18" s="1" customFormat="1" x14ac:dyDescent="0.3">
      <c r="F108" s="12"/>
      <c r="H108" s="12"/>
      <c r="N108" s="31"/>
      <c r="O108" s="31"/>
      <c r="P108" s="30"/>
      <c r="Q108" s="30"/>
      <c r="R108" s="30"/>
    </row>
    <row r="109" spans="1:18" s="1" customFormat="1" x14ac:dyDescent="0.3">
      <c r="F109" s="12"/>
      <c r="H109" s="12"/>
      <c r="N109" s="31"/>
      <c r="O109" s="31"/>
      <c r="P109" s="30"/>
      <c r="Q109" s="30"/>
      <c r="R109" s="30"/>
    </row>
    <row r="110" spans="1:18" s="1" customFormat="1" x14ac:dyDescent="0.3">
      <c r="F110" s="12"/>
      <c r="H110" s="12"/>
      <c r="N110" s="31"/>
      <c r="O110" s="31"/>
      <c r="P110" s="30"/>
      <c r="Q110" s="30"/>
      <c r="R110" s="30"/>
    </row>
    <row r="111" spans="1:18" s="1" customFormat="1" x14ac:dyDescent="0.3">
      <c r="F111" s="12"/>
      <c r="H111" s="12"/>
      <c r="N111" s="31"/>
      <c r="O111" s="31"/>
      <c r="P111" s="30"/>
      <c r="Q111" s="30"/>
      <c r="R111" s="30"/>
    </row>
    <row r="112" spans="1:18" s="1" customFormat="1" x14ac:dyDescent="0.3">
      <c r="F112" s="12"/>
      <c r="H112" s="12"/>
      <c r="N112" s="31"/>
      <c r="O112" s="31"/>
      <c r="P112" s="30"/>
      <c r="Q112" s="30"/>
      <c r="R112" s="30"/>
    </row>
    <row r="113" spans="6:18" s="1" customFormat="1" x14ac:dyDescent="0.3">
      <c r="F113" s="12"/>
      <c r="H113" s="12"/>
      <c r="N113" s="31"/>
      <c r="O113" s="31"/>
      <c r="P113" s="30"/>
      <c r="Q113" s="30"/>
      <c r="R113" s="30"/>
    </row>
    <row r="114" spans="6:18" s="1" customFormat="1" x14ac:dyDescent="0.3">
      <c r="F114" s="12"/>
      <c r="H114" s="12"/>
      <c r="N114" s="31"/>
      <c r="O114" s="31"/>
      <c r="P114" s="30"/>
      <c r="Q114" s="30"/>
      <c r="R114" s="30"/>
    </row>
    <row r="115" spans="6:18" s="1" customFormat="1" x14ac:dyDescent="0.3">
      <c r="F115" s="12"/>
      <c r="H115" s="12"/>
      <c r="N115" s="31"/>
      <c r="O115" s="31"/>
      <c r="P115" s="30"/>
      <c r="Q115" s="30"/>
      <c r="R115" s="30"/>
    </row>
    <row r="116" spans="6:18" s="1" customFormat="1" x14ac:dyDescent="0.3">
      <c r="F116" s="12"/>
      <c r="H116" s="12"/>
      <c r="N116" s="31"/>
      <c r="O116" s="31"/>
      <c r="P116" s="30"/>
      <c r="Q116" s="30"/>
      <c r="R116" s="30"/>
    </row>
    <row r="117" spans="6:18" s="1" customFormat="1" x14ac:dyDescent="0.3">
      <c r="F117" s="12"/>
      <c r="H117" s="12"/>
      <c r="N117" s="31"/>
      <c r="O117" s="31"/>
      <c r="P117" s="30"/>
      <c r="Q117" s="30"/>
      <c r="R117" s="30"/>
    </row>
    <row r="118" spans="6:18" s="1" customFormat="1" x14ac:dyDescent="0.3">
      <c r="F118" s="12"/>
      <c r="H118" s="12"/>
      <c r="N118" s="31"/>
      <c r="O118" s="31"/>
      <c r="P118" s="30"/>
      <c r="Q118" s="30"/>
      <c r="R118" s="30"/>
    </row>
    <row r="119" spans="6:18" s="1" customFormat="1" x14ac:dyDescent="0.3">
      <c r="F119" s="12"/>
      <c r="H119" s="12"/>
      <c r="N119" s="31"/>
      <c r="O119" s="31"/>
      <c r="P119" s="30"/>
      <c r="Q119" s="30"/>
      <c r="R119" s="30"/>
    </row>
    <row r="120" spans="6:18" s="1" customFormat="1" x14ac:dyDescent="0.3">
      <c r="F120" s="12"/>
      <c r="H120" s="12"/>
      <c r="N120" s="31"/>
      <c r="O120" s="31"/>
      <c r="P120" s="30"/>
      <c r="Q120" s="30"/>
      <c r="R120" s="30"/>
    </row>
    <row r="121" spans="6:18" s="1" customFormat="1" x14ac:dyDescent="0.3">
      <c r="F121" s="12"/>
      <c r="H121" s="12"/>
      <c r="N121" s="31"/>
      <c r="O121" s="31"/>
      <c r="P121" s="30"/>
      <c r="Q121" s="30"/>
      <c r="R121" s="30"/>
    </row>
    <row r="122" spans="6:18" s="1" customFormat="1" x14ac:dyDescent="0.3">
      <c r="F122" s="12"/>
      <c r="H122" s="12"/>
      <c r="N122" s="31"/>
      <c r="O122" s="31"/>
      <c r="P122" s="30"/>
      <c r="Q122" s="30"/>
      <c r="R122" s="30"/>
    </row>
    <row r="123" spans="6:18" s="1" customFormat="1" x14ac:dyDescent="0.3">
      <c r="F123" s="12"/>
      <c r="H123" s="12"/>
      <c r="N123" s="31"/>
      <c r="O123" s="31"/>
      <c r="P123" s="30"/>
      <c r="Q123" s="30"/>
      <c r="R123" s="30"/>
    </row>
    <row r="124" spans="6:18" s="1" customFormat="1" x14ac:dyDescent="0.3">
      <c r="F124" s="12"/>
      <c r="H124" s="12"/>
      <c r="N124" s="31"/>
      <c r="O124" s="31"/>
      <c r="P124" s="30"/>
      <c r="Q124" s="30"/>
      <c r="R124" s="30"/>
    </row>
    <row r="125" spans="6:18" s="1" customFormat="1" x14ac:dyDescent="0.3">
      <c r="F125" s="12"/>
      <c r="H125" s="12"/>
      <c r="N125" s="31"/>
      <c r="O125" s="31"/>
      <c r="P125" s="30"/>
      <c r="Q125" s="30"/>
      <c r="R125" s="30"/>
    </row>
    <row r="126" spans="6:18" s="1" customFormat="1" x14ac:dyDescent="0.3">
      <c r="F126" s="12"/>
      <c r="H126" s="12"/>
      <c r="N126" s="31"/>
      <c r="O126" s="31"/>
      <c r="P126" s="30"/>
      <c r="Q126" s="30"/>
      <c r="R126" s="30"/>
    </row>
    <row r="127" spans="6:18" s="1" customFormat="1" x14ac:dyDescent="0.3">
      <c r="F127" s="12"/>
      <c r="H127" s="12"/>
      <c r="N127" s="31"/>
      <c r="O127" s="31"/>
      <c r="P127" s="30"/>
      <c r="Q127" s="30"/>
      <c r="R127" s="30"/>
    </row>
    <row r="128" spans="6:18" s="1" customFormat="1" x14ac:dyDescent="0.3">
      <c r="F128" s="12"/>
      <c r="H128" s="12"/>
      <c r="N128" s="31"/>
      <c r="O128" s="31"/>
      <c r="P128" s="30"/>
      <c r="Q128" s="30"/>
      <c r="R128" s="30"/>
    </row>
    <row r="129" spans="6:18" s="1" customFormat="1" x14ac:dyDescent="0.3">
      <c r="F129" s="12"/>
      <c r="H129" s="12"/>
      <c r="N129" s="31"/>
      <c r="O129" s="31"/>
      <c r="P129" s="30"/>
      <c r="Q129" s="30"/>
      <c r="R129" s="30"/>
    </row>
    <row r="130" spans="6:18" s="1" customFormat="1" x14ac:dyDescent="0.3">
      <c r="F130" s="12"/>
      <c r="H130" s="12"/>
      <c r="N130" s="31"/>
      <c r="O130" s="31"/>
      <c r="P130" s="30"/>
      <c r="Q130" s="30"/>
      <c r="R130" s="30"/>
    </row>
    <row r="131" spans="6:18" s="1" customFormat="1" x14ac:dyDescent="0.3">
      <c r="F131" s="12"/>
      <c r="H131" s="12"/>
      <c r="N131" s="31"/>
      <c r="O131" s="31"/>
      <c r="P131" s="30"/>
      <c r="Q131" s="30"/>
      <c r="R131" s="30"/>
    </row>
    <row r="132" spans="6:18" s="1" customFormat="1" x14ac:dyDescent="0.3">
      <c r="F132" s="12"/>
      <c r="H132" s="12"/>
      <c r="N132" s="31"/>
      <c r="O132" s="31"/>
      <c r="P132" s="30"/>
      <c r="Q132" s="30"/>
      <c r="R132" s="30"/>
    </row>
    <row r="133" spans="6:18" s="1" customFormat="1" x14ac:dyDescent="0.3">
      <c r="F133" s="12"/>
      <c r="H133" s="12"/>
      <c r="N133" s="31"/>
      <c r="O133" s="31"/>
      <c r="P133" s="30"/>
      <c r="Q133" s="30"/>
      <c r="R133" s="30"/>
    </row>
    <row r="134" spans="6:18" s="1" customFormat="1" x14ac:dyDescent="0.3">
      <c r="F134" s="12"/>
      <c r="H134" s="12"/>
      <c r="N134" s="31"/>
      <c r="O134" s="31"/>
      <c r="P134" s="30"/>
      <c r="Q134" s="30"/>
      <c r="R134" s="30"/>
    </row>
    <row r="135" spans="6:18" s="1" customFormat="1" x14ac:dyDescent="0.3">
      <c r="F135" s="12"/>
      <c r="H135" s="12"/>
      <c r="N135" s="31"/>
      <c r="O135" s="31"/>
      <c r="P135" s="30"/>
      <c r="Q135" s="30"/>
      <c r="R135" s="30"/>
    </row>
    <row r="136" spans="6:18" s="1" customFormat="1" x14ac:dyDescent="0.3">
      <c r="F136" s="12"/>
      <c r="H136" s="12"/>
      <c r="N136" s="31"/>
      <c r="O136" s="31"/>
      <c r="P136" s="30"/>
      <c r="Q136" s="30"/>
      <c r="R136" s="30"/>
    </row>
    <row r="137" spans="6:18" s="1" customFormat="1" x14ac:dyDescent="0.3">
      <c r="F137" s="12"/>
      <c r="H137" s="12"/>
      <c r="N137" s="31"/>
      <c r="O137" s="31"/>
      <c r="P137" s="30"/>
      <c r="Q137" s="30"/>
      <c r="R137" s="30"/>
    </row>
    <row r="138" spans="6:18" s="1" customFormat="1" x14ac:dyDescent="0.3">
      <c r="F138" s="12"/>
      <c r="H138" s="12"/>
      <c r="N138" s="31"/>
      <c r="O138" s="31"/>
      <c r="P138" s="30"/>
      <c r="Q138" s="30"/>
      <c r="R138" s="30"/>
    </row>
    <row r="139" spans="6:18" s="1" customFormat="1" x14ac:dyDescent="0.3">
      <c r="F139" s="12"/>
      <c r="H139" s="12"/>
      <c r="N139" s="31"/>
      <c r="O139" s="31"/>
      <c r="P139" s="30"/>
      <c r="Q139" s="30"/>
      <c r="R139" s="30"/>
    </row>
    <row r="140" spans="6:18" s="1" customFormat="1" x14ac:dyDescent="0.3">
      <c r="F140" s="12"/>
      <c r="H140" s="12"/>
      <c r="N140" s="31"/>
      <c r="O140" s="31"/>
      <c r="P140" s="30"/>
      <c r="Q140" s="30"/>
      <c r="R140" s="30"/>
    </row>
    <row r="141" spans="6:18" s="1" customFormat="1" x14ac:dyDescent="0.3">
      <c r="F141" s="12"/>
      <c r="H141" s="12"/>
      <c r="N141" s="31"/>
      <c r="O141" s="31"/>
      <c r="P141" s="30"/>
      <c r="Q141" s="30"/>
      <c r="R141" s="30"/>
    </row>
    <row r="142" spans="6:18" s="1" customFormat="1" x14ac:dyDescent="0.3">
      <c r="F142" s="12"/>
      <c r="H142" s="12"/>
      <c r="N142" s="31"/>
      <c r="O142" s="31"/>
      <c r="P142" s="30"/>
      <c r="Q142" s="30"/>
      <c r="R142" s="30"/>
    </row>
    <row r="143" spans="6:18" s="1" customFormat="1" x14ac:dyDescent="0.3">
      <c r="F143" s="12"/>
      <c r="H143" s="12"/>
      <c r="N143" s="31"/>
      <c r="O143" s="31"/>
      <c r="P143" s="30"/>
      <c r="Q143" s="30"/>
      <c r="R143" s="30"/>
    </row>
    <row r="144" spans="6:18" s="1" customFormat="1" x14ac:dyDescent="0.3">
      <c r="F144" s="12"/>
      <c r="H144" s="12"/>
      <c r="N144" s="31"/>
      <c r="O144" s="31"/>
      <c r="P144" s="30"/>
      <c r="Q144" s="30"/>
      <c r="R144" s="30"/>
    </row>
    <row r="145" spans="6:18" s="1" customFormat="1" x14ac:dyDescent="0.3">
      <c r="F145" s="12"/>
      <c r="H145" s="12"/>
      <c r="N145" s="31"/>
      <c r="O145" s="31"/>
      <c r="P145" s="30"/>
      <c r="Q145" s="30"/>
      <c r="R145" s="30"/>
    </row>
    <row r="146" spans="6:18" s="1" customFormat="1" x14ac:dyDescent="0.3">
      <c r="F146" s="12"/>
      <c r="H146" s="12"/>
      <c r="N146" s="31"/>
      <c r="O146" s="31"/>
      <c r="P146" s="30"/>
      <c r="Q146" s="30"/>
      <c r="R146" s="30"/>
    </row>
    <row r="147" spans="6:18" s="1" customFormat="1" x14ac:dyDescent="0.3">
      <c r="F147" s="12"/>
      <c r="H147" s="12"/>
      <c r="N147" s="31"/>
      <c r="O147" s="31"/>
      <c r="P147" s="30"/>
      <c r="Q147" s="30"/>
      <c r="R147" s="30"/>
    </row>
    <row r="148" spans="6:18" s="1" customFormat="1" x14ac:dyDescent="0.3">
      <c r="F148" s="12"/>
      <c r="H148" s="12"/>
      <c r="N148" s="31"/>
      <c r="O148" s="31"/>
      <c r="P148" s="30"/>
      <c r="Q148" s="30"/>
      <c r="R148" s="30"/>
    </row>
    <row r="149" spans="6:18" s="1" customFormat="1" x14ac:dyDescent="0.3">
      <c r="F149" s="12"/>
      <c r="H149" s="12"/>
      <c r="N149" s="31"/>
      <c r="O149" s="31"/>
      <c r="P149" s="30"/>
      <c r="Q149" s="30"/>
      <c r="R149" s="30"/>
    </row>
    <row r="150" spans="6:18" s="1" customFormat="1" x14ac:dyDescent="0.3">
      <c r="F150" s="12"/>
      <c r="H150" s="12"/>
      <c r="N150" s="31"/>
      <c r="O150" s="31"/>
      <c r="P150" s="30"/>
      <c r="Q150" s="30"/>
      <c r="R150" s="30"/>
    </row>
    <row r="151" spans="6:18" s="1" customFormat="1" x14ac:dyDescent="0.3">
      <c r="F151" s="12"/>
      <c r="H151" s="12"/>
      <c r="N151" s="31"/>
      <c r="O151" s="31"/>
      <c r="P151" s="30"/>
      <c r="Q151" s="30"/>
      <c r="R151" s="30"/>
    </row>
    <row r="152" spans="6:18" s="1" customFormat="1" x14ac:dyDescent="0.3">
      <c r="F152" s="12"/>
      <c r="H152" s="12"/>
      <c r="N152" s="31"/>
      <c r="O152" s="31"/>
      <c r="P152" s="30"/>
      <c r="Q152" s="30"/>
      <c r="R152" s="30"/>
    </row>
    <row r="153" spans="6:18" s="1" customFormat="1" x14ac:dyDescent="0.3">
      <c r="F153" s="12"/>
      <c r="H153" s="12"/>
      <c r="N153" s="31"/>
      <c r="O153" s="31"/>
      <c r="P153" s="30"/>
      <c r="Q153" s="30"/>
      <c r="R153" s="30"/>
    </row>
    <row r="154" spans="6:18" s="1" customFormat="1" x14ac:dyDescent="0.3">
      <c r="F154" s="12"/>
      <c r="H154" s="12"/>
      <c r="N154" s="31"/>
      <c r="O154" s="31"/>
      <c r="P154" s="30"/>
      <c r="Q154" s="30"/>
      <c r="R154" s="30"/>
    </row>
    <row r="155" spans="6:18" s="1" customFormat="1" x14ac:dyDescent="0.3">
      <c r="F155" s="12"/>
      <c r="H155" s="12"/>
      <c r="N155" s="31"/>
      <c r="O155" s="31"/>
      <c r="P155" s="30"/>
      <c r="Q155" s="30"/>
      <c r="R155" s="30"/>
    </row>
    <row r="156" spans="6:18" s="1" customFormat="1" x14ac:dyDescent="0.3">
      <c r="F156" s="12"/>
      <c r="H156" s="12"/>
      <c r="N156" s="31"/>
      <c r="O156" s="31"/>
      <c r="P156" s="30"/>
      <c r="Q156" s="30"/>
      <c r="R156" s="30"/>
    </row>
    <row r="157" spans="6:18" s="1" customFormat="1" x14ac:dyDescent="0.3">
      <c r="F157" s="12"/>
      <c r="H157" s="12"/>
      <c r="N157" s="31"/>
      <c r="O157" s="31"/>
      <c r="P157" s="30"/>
      <c r="Q157" s="30"/>
      <c r="R157" s="30"/>
    </row>
    <row r="158" spans="6:18" s="1" customFormat="1" x14ac:dyDescent="0.3">
      <c r="F158" s="12"/>
      <c r="H158" s="12"/>
      <c r="N158" s="31"/>
      <c r="O158" s="31"/>
      <c r="P158" s="30"/>
      <c r="Q158" s="30"/>
      <c r="R158" s="30"/>
    </row>
    <row r="159" spans="6:18" s="1" customFormat="1" x14ac:dyDescent="0.3">
      <c r="F159" s="12"/>
      <c r="H159" s="12"/>
      <c r="N159" s="31"/>
      <c r="O159" s="31"/>
      <c r="P159" s="30"/>
      <c r="Q159" s="30"/>
      <c r="R159" s="30"/>
    </row>
    <row r="160" spans="6:18" s="1" customFormat="1" x14ac:dyDescent="0.3">
      <c r="F160" s="12"/>
      <c r="H160" s="12"/>
      <c r="N160" s="31"/>
      <c r="O160" s="31"/>
      <c r="P160" s="30"/>
      <c r="Q160" s="30"/>
      <c r="R160" s="30"/>
    </row>
    <row r="161" spans="6:18" s="1" customFormat="1" x14ac:dyDescent="0.3">
      <c r="F161" s="12"/>
      <c r="H161" s="12"/>
      <c r="N161" s="31"/>
      <c r="O161" s="31"/>
      <c r="P161" s="30"/>
      <c r="Q161" s="30"/>
      <c r="R161" s="30"/>
    </row>
    <row r="162" spans="6:18" s="1" customFormat="1" x14ac:dyDescent="0.3">
      <c r="F162" s="12"/>
      <c r="H162" s="12"/>
      <c r="N162" s="31"/>
      <c r="O162" s="31"/>
      <c r="P162" s="30"/>
      <c r="Q162" s="30"/>
      <c r="R162" s="30"/>
    </row>
    <row r="163" spans="6:18" s="1" customFormat="1" x14ac:dyDescent="0.3">
      <c r="F163" s="12"/>
      <c r="H163" s="12"/>
      <c r="N163" s="31"/>
      <c r="O163" s="31"/>
      <c r="P163" s="30"/>
      <c r="Q163" s="30"/>
      <c r="R163" s="30"/>
    </row>
    <row r="164" spans="6:18" s="1" customFormat="1" x14ac:dyDescent="0.3">
      <c r="F164" s="12"/>
      <c r="H164" s="12"/>
      <c r="N164" s="31"/>
      <c r="O164" s="31"/>
      <c r="P164" s="30"/>
      <c r="Q164" s="30"/>
      <c r="R164" s="30"/>
    </row>
    <row r="165" spans="6:18" s="1" customFormat="1" x14ac:dyDescent="0.3">
      <c r="F165" s="12"/>
      <c r="H165" s="12"/>
      <c r="N165" s="31"/>
      <c r="O165" s="31"/>
      <c r="P165" s="30"/>
      <c r="Q165" s="30"/>
      <c r="R165" s="30"/>
    </row>
    <row r="166" spans="6:18" s="1" customFormat="1" x14ac:dyDescent="0.3">
      <c r="F166" s="12"/>
      <c r="H166" s="12"/>
      <c r="N166" s="31"/>
      <c r="O166" s="31"/>
      <c r="P166" s="30"/>
      <c r="Q166" s="30"/>
      <c r="R166" s="30"/>
    </row>
    <row r="167" spans="6:18" s="1" customFormat="1" x14ac:dyDescent="0.3">
      <c r="F167" s="12"/>
      <c r="H167" s="12"/>
      <c r="N167" s="31"/>
      <c r="O167" s="31"/>
      <c r="P167" s="30"/>
      <c r="Q167" s="30"/>
      <c r="R167" s="30"/>
    </row>
    <row r="168" spans="6:18" s="1" customFormat="1" x14ac:dyDescent="0.3">
      <c r="F168" s="12"/>
      <c r="H168" s="12"/>
      <c r="N168" s="31"/>
      <c r="O168" s="31"/>
      <c r="P168" s="30"/>
      <c r="Q168" s="30"/>
      <c r="R168" s="30"/>
    </row>
    <row r="169" spans="6:18" s="1" customFormat="1" x14ac:dyDescent="0.3">
      <c r="F169" s="12"/>
      <c r="H169" s="12"/>
      <c r="N169" s="31"/>
      <c r="O169" s="31"/>
      <c r="P169" s="30"/>
      <c r="Q169" s="30"/>
      <c r="R169" s="30"/>
    </row>
    <row r="170" spans="6:18" s="1" customFormat="1" x14ac:dyDescent="0.3">
      <c r="F170" s="12"/>
      <c r="H170" s="12"/>
      <c r="N170" s="31"/>
      <c r="O170" s="31"/>
      <c r="P170" s="30"/>
      <c r="Q170" s="30"/>
      <c r="R170" s="30"/>
    </row>
    <row r="171" spans="6:18" s="1" customFormat="1" x14ac:dyDescent="0.3">
      <c r="F171" s="12"/>
      <c r="H171" s="12"/>
      <c r="N171" s="31"/>
      <c r="O171" s="31"/>
      <c r="P171" s="30"/>
      <c r="Q171" s="30"/>
      <c r="R171" s="30"/>
    </row>
    <row r="172" spans="6:18" s="1" customFormat="1" x14ac:dyDescent="0.3">
      <c r="F172" s="12"/>
      <c r="H172" s="12"/>
      <c r="N172" s="31"/>
      <c r="O172" s="31"/>
      <c r="P172" s="30"/>
      <c r="Q172" s="30"/>
      <c r="R172" s="30"/>
    </row>
    <row r="173" spans="6:18" s="1" customFormat="1" x14ac:dyDescent="0.3">
      <c r="F173" s="12"/>
      <c r="H173" s="12"/>
      <c r="N173" s="31"/>
      <c r="O173" s="31"/>
      <c r="P173" s="30"/>
      <c r="Q173" s="30"/>
      <c r="R173" s="30"/>
    </row>
    <row r="174" spans="6:18" s="1" customFormat="1" x14ac:dyDescent="0.3">
      <c r="F174" s="12"/>
      <c r="H174" s="12"/>
      <c r="N174" s="31"/>
      <c r="O174" s="31"/>
      <c r="P174" s="30"/>
      <c r="Q174" s="30"/>
      <c r="R174" s="30"/>
    </row>
    <row r="175" spans="6:18" s="1" customFormat="1" x14ac:dyDescent="0.3">
      <c r="F175" s="12"/>
      <c r="H175" s="12"/>
      <c r="N175" s="31"/>
      <c r="O175" s="31"/>
      <c r="P175" s="30"/>
      <c r="Q175" s="30"/>
      <c r="R175" s="30"/>
    </row>
    <row r="176" spans="6:18" s="1" customFormat="1" x14ac:dyDescent="0.3">
      <c r="F176" s="12"/>
      <c r="H176" s="12"/>
      <c r="N176" s="31"/>
      <c r="O176" s="31"/>
      <c r="P176" s="30"/>
      <c r="Q176" s="30"/>
      <c r="R176" s="30"/>
    </row>
    <row r="177" spans="6:18" s="1" customFormat="1" x14ac:dyDescent="0.3">
      <c r="F177" s="12"/>
      <c r="H177" s="12"/>
      <c r="N177" s="31"/>
      <c r="O177" s="31"/>
      <c r="P177" s="30"/>
      <c r="Q177" s="30"/>
      <c r="R177" s="30"/>
    </row>
    <row r="178" spans="6:18" s="1" customFormat="1" x14ac:dyDescent="0.3">
      <c r="F178" s="12"/>
      <c r="H178" s="12"/>
      <c r="N178" s="31"/>
      <c r="O178" s="31"/>
      <c r="P178" s="30"/>
      <c r="Q178" s="30"/>
      <c r="R178" s="30"/>
    </row>
    <row r="179" spans="6:18" s="1" customFormat="1" x14ac:dyDescent="0.3">
      <c r="F179" s="12"/>
      <c r="H179" s="12"/>
      <c r="N179" s="31"/>
      <c r="O179" s="31"/>
      <c r="P179" s="30"/>
      <c r="Q179" s="30"/>
      <c r="R179" s="30"/>
    </row>
    <row r="180" spans="6:18" s="1" customFormat="1" x14ac:dyDescent="0.3">
      <c r="F180" s="12"/>
      <c r="H180" s="12"/>
      <c r="N180" s="31"/>
      <c r="O180" s="31"/>
      <c r="P180" s="30"/>
      <c r="Q180" s="30"/>
      <c r="R180" s="30"/>
    </row>
    <row r="181" spans="6:18" s="1" customFormat="1" x14ac:dyDescent="0.3">
      <c r="F181" s="12"/>
      <c r="H181" s="12"/>
      <c r="N181" s="31"/>
      <c r="O181" s="31"/>
      <c r="P181" s="30"/>
      <c r="Q181" s="30"/>
      <c r="R181" s="30"/>
    </row>
    <row r="182" spans="6:18" s="1" customFormat="1" x14ac:dyDescent="0.3">
      <c r="F182" s="12"/>
      <c r="H182" s="12"/>
      <c r="N182" s="31"/>
      <c r="O182" s="31"/>
      <c r="P182" s="30"/>
      <c r="Q182" s="30"/>
      <c r="R182" s="30"/>
    </row>
    <row r="183" spans="6:18" s="1" customFormat="1" x14ac:dyDescent="0.3">
      <c r="F183" s="12"/>
      <c r="H183" s="12"/>
      <c r="N183" s="31"/>
      <c r="O183" s="31"/>
      <c r="P183" s="30"/>
      <c r="Q183" s="30"/>
      <c r="R183" s="30"/>
    </row>
    <row r="184" spans="6:18" s="1" customFormat="1" x14ac:dyDescent="0.3">
      <c r="F184" s="12"/>
      <c r="H184" s="12"/>
      <c r="N184" s="31"/>
      <c r="O184" s="31"/>
      <c r="P184" s="30"/>
      <c r="Q184" s="30"/>
      <c r="R184" s="30"/>
    </row>
    <row r="185" spans="6:18" s="1" customFormat="1" x14ac:dyDescent="0.3">
      <c r="F185" s="12"/>
      <c r="H185" s="12"/>
      <c r="N185" s="31"/>
      <c r="O185" s="31"/>
      <c r="P185" s="30"/>
      <c r="Q185" s="30"/>
      <c r="R185" s="30"/>
    </row>
    <row r="186" spans="6:18" s="1" customFormat="1" x14ac:dyDescent="0.3">
      <c r="F186" s="12"/>
      <c r="H186" s="12"/>
      <c r="N186" s="31"/>
      <c r="O186" s="31"/>
      <c r="P186" s="30"/>
      <c r="Q186" s="30"/>
      <c r="R186" s="30"/>
    </row>
    <row r="187" spans="6:18" s="1" customFormat="1" x14ac:dyDescent="0.3">
      <c r="F187" s="12"/>
      <c r="H187" s="12"/>
      <c r="N187" s="31"/>
      <c r="O187" s="31"/>
      <c r="P187" s="30"/>
      <c r="Q187" s="30"/>
      <c r="R187" s="30"/>
    </row>
    <row r="188" spans="6:18" s="1" customFormat="1" x14ac:dyDescent="0.3">
      <c r="F188" s="12"/>
      <c r="H188" s="12"/>
      <c r="N188" s="31"/>
      <c r="O188" s="31"/>
      <c r="P188" s="30"/>
      <c r="Q188" s="30"/>
      <c r="R188" s="30"/>
    </row>
    <row r="189" spans="6:18" s="1" customFormat="1" x14ac:dyDescent="0.3">
      <c r="F189" s="12"/>
      <c r="H189" s="12"/>
      <c r="N189" s="31"/>
      <c r="O189" s="31"/>
      <c r="P189" s="30"/>
      <c r="Q189" s="30"/>
      <c r="R189" s="30"/>
    </row>
    <row r="190" spans="6:18" s="1" customFormat="1" x14ac:dyDescent="0.3">
      <c r="F190" s="12"/>
      <c r="H190" s="12"/>
      <c r="N190" s="31"/>
      <c r="O190" s="31"/>
      <c r="P190" s="30"/>
      <c r="Q190" s="30"/>
      <c r="R190" s="30"/>
    </row>
    <row r="191" spans="6:18" s="1" customFormat="1" x14ac:dyDescent="0.3">
      <c r="F191" s="12"/>
      <c r="H191" s="12"/>
      <c r="N191" s="31"/>
      <c r="O191" s="31"/>
      <c r="P191" s="30"/>
      <c r="Q191" s="30"/>
      <c r="R191" s="30"/>
    </row>
    <row r="192" spans="6:18" s="1" customFormat="1" x14ac:dyDescent="0.3">
      <c r="F192" s="12"/>
      <c r="H192" s="12"/>
      <c r="N192" s="31"/>
      <c r="O192" s="31"/>
      <c r="P192" s="30"/>
      <c r="Q192" s="30"/>
      <c r="R192" s="30"/>
    </row>
    <row r="193" spans="6:18" s="1" customFormat="1" x14ac:dyDescent="0.3">
      <c r="F193" s="12"/>
      <c r="H193" s="12"/>
      <c r="N193" s="31"/>
      <c r="O193" s="31"/>
      <c r="P193" s="30"/>
      <c r="Q193" s="30"/>
      <c r="R193" s="30"/>
    </row>
    <row r="194" spans="6:18" s="1" customFormat="1" x14ac:dyDescent="0.3">
      <c r="F194" s="12"/>
      <c r="H194" s="12"/>
      <c r="N194" s="31"/>
      <c r="O194" s="31"/>
      <c r="P194" s="30"/>
      <c r="Q194" s="30"/>
      <c r="R194" s="30"/>
    </row>
    <row r="195" spans="6:18" s="1" customFormat="1" x14ac:dyDescent="0.3">
      <c r="F195" s="12"/>
      <c r="H195" s="12"/>
      <c r="N195" s="31"/>
      <c r="O195" s="31"/>
      <c r="P195" s="30"/>
      <c r="Q195" s="30"/>
      <c r="R195" s="30"/>
    </row>
    <row r="196" spans="6:18" s="1" customFormat="1" x14ac:dyDescent="0.3">
      <c r="F196" s="12"/>
      <c r="H196" s="12"/>
      <c r="N196" s="31"/>
      <c r="O196" s="31"/>
      <c r="P196" s="30"/>
      <c r="Q196" s="30"/>
      <c r="R196" s="30"/>
    </row>
    <row r="197" spans="6:18" s="1" customFormat="1" x14ac:dyDescent="0.3">
      <c r="F197" s="12"/>
      <c r="H197" s="12"/>
      <c r="N197" s="31"/>
      <c r="O197" s="31"/>
      <c r="P197" s="30"/>
      <c r="Q197" s="30"/>
      <c r="R197" s="30"/>
    </row>
    <row r="198" spans="6:18" s="1" customFormat="1" x14ac:dyDescent="0.3">
      <c r="F198" s="12"/>
      <c r="H198" s="12"/>
      <c r="N198" s="31"/>
      <c r="O198" s="31"/>
      <c r="P198" s="30"/>
      <c r="Q198" s="30"/>
      <c r="R198" s="30"/>
    </row>
    <row r="199" spans="6:18" s="1" customFormat="1" x14ac:dyDescent="0.3">
      <c r="F199" s="12"/>
      <c r="H199" s="12"/>
      <c r="N199" s="31"/>
      <c r="O199" s="31"/>
      <c r="P199" s="30"/>
      <c r="Q199" s="30"/>
      <c r="R199" s="30"/>
    </row>
    <row r="200" spans="6:18" s="1" customFormat="1" x14ac:dyDescent="0.3">
      <c r="F200" s="12"/>
      <c r="H200" s="12"/>
      <c r="N200" s="31"/>
      <c r="O200" s="31"/>
      <c r="P200" s="30"/>
      <c r="Q200" s="30"/>
      <c r="R200" s="30"/>
    </row>
    <row r="201" spans="6:18" s="1" customFormat="1" x14ac:dyDescent="0.3">
      <c r="F201" s="12"/>
      <c r="H201" s="12"/>
      <c r="N201" s="31"/>
      <c r="O201" s="31"/>
      <c r="P201" s="30"/>
      <c r="Q201" s="30"/>
      <c r="R201" s="30"/>
    </row>
    <row r="202" spans="6:18" s="1" customFormat="1" x14ac:dyDescent="0.3">
      <c r="F202" s="12"/>
      <c r="H202" s="12"/>
      <c r="N202" s="31"/>
      <c r="O202" s="31"/>
      <c r="P202" s="30"/>
      <c r="Q202" s="30"/>
      <c r="R202" s="30"/>
    </row>
    <row r="203" spans="6:18" s="1" customFormat="1" x14ac:dyDescent="0.3">
      <c r="F203" s="12"/>
      <c r="H203" s="12"/>
      <c r="N203" s="31"/>
      <c r="O203" s="31"/>
      <c r="P203" s="30"/>
      <c r="Q203" s="30"/>
      <c r="R203" s="30"/>
    </row>
    <row r="204" spans="6:18" s="1" customFormat="1" x14ac:dyDescent="0.3">
      <c r="F204" s="12"/>
      <c r="H204" s="12"/>
      <c r="N204" s="31"/>
      <c r="O204" s="31"/>
      <c r="P204" s="30"/>
      <c r="Q204" s="30"/>
      <c r="R204" s="30"/>
    </row>
    <row r="205" spans="6:18" s="1" customFormat="1" x14ac:dyDescent="0.3">
      <c r="F205" s="12"/>
      <c r="H205" s="12"/>
      <c r="N205" s="31"/>
      <c r="O205" s="31"/>
      <c r="P205" s="30"/>
      <c r="Q205" s="30"/>
      <c r="R205" s="30"/>
    </row>
    <row r="206" spans="6:18" s="1" customFormat="1" x14ac:dyDescent="0.3">
      <c r="F206" s="12"/>
      <c r="H206" s="12"/>
      <c r="N206" s="31"/>
      <c r="O206" s="31"/>
      <c r="P206" s="30"/>
      <c r="Q206" s="30"/>
      <c r="R206" s="30"/>
    </row>
    <row r="207" spans="6:18" s="1" customFormat="1" x14ac:dyDescent="0.3">
      <c r="F207" s="12"/>
      <c r="H207" s="12"/>
      <c r="N207" s="31"/>
      <c r="O207" s="31"/>
      <c r="P207" s="30"/>
      <c r="Q207" s="30"/>
      <c r="R207" s="30"/>
    </row>
    <row r="208" spans="6:18" s="1" customFormat="1" x14ac:dyDescent="0.3">
      <c r="F208" s="12"/>
      <c r="H208" s="12"/>
      <c r="N208" s="31"/>
      <c r="O208" s="31"/>
      <c r="P208" s="30"/>
      <c r="Q208" s="30"/>
      <c r="R208" s="30"/>
    </row>
    <row r="209" spans="6:18" s="1" customFormat="1" x14ac:dyDescent="0.3">
      <c r="F209" s="12"/>
      <c r="H209" s="12"/>
      <c r="N209" s="31"/>
      <c r="O209" s="31"/>
      <c r="P209" s="30"/>
      <c r="Q209" s="30"/>
      <c r="R209" s="30"/>
    </row>
    <row r="210" spans="6:18" s="1" customFormat="1" x14ac:dyDescent="0.3">
      <c r="F210" s="12"/>
      <c r="H210" s="12"/>
      <c r="N210" s="31"/>
      <c r="O210" s="31"/>
      <c r="P210" s="30"/>
      <c r="Q210" s="30"/>
      <c r="R210" s="30"/>
    </row>
    <row r="211" spans="6:18" s="1" customFormat="1" x14ac:dyDescent="0.3">
      <c r="F211" s="12"/>
      <c r="H211" s="12"/>
      <c r="N211" s="31"/>
      <c r="O211" s="31"/>
      <c r="P211" s="30"/>
      <c r="Q211" s="30"/>
      <c r="R211" s="30"/>
    </row>
    <row r="212" spans="6:18" s="1" customFormat="1" x14ac:dyDescent="0.3">
      <c r="F212" s="12"/>
      <c r="H212" s="12"/>
      <c r="N212" s="31"/>
      <c r="O212" s="31"/>
      <c r="P212" s="30"/>
      <c r="Q212" s="30"/>
      <c r="R212" s="30"/>
    </row>
    <row r="213" spans="6:18" s="1" customFormat="1" x14ac:dyDescent="0.3">
      <c r="F213" s="12"/>
      <c r="H213" s="12"/>
      <c r="N213" s="31"/>
      <c r="O213" s="31"/>
      <c r="P213" s="30"/>
      <c r="Q213" s="30"/>
      <c r="R213" s="30"/>
    </row>
    <row r="214" spans="6:18" s="1" customFormat="1" x14ac:dyDescent="0.3">
      <c r="F214" s="12"/>
      <c r="H214" s="12"/>
      <c r="N214" s="31"/>
      <c r="O214" s="31"/>
      <c r="P214" s="30"/>
      <c r="Q214" s="30"/>
      <c r="R214" s="30"/>
    </row>
    <row r="215" spans="6:18" s="1" customFormat="1" x14ac:dyDescent="0.3">
      <c r="F215" s="12"/>
      <c r="H215" s="12"/>
      <c r="N215" s="31"/>
      <c r="O215" s="31"/>
      <c r="P215" s="30"/>
      <c r="Q215" s="30"/>
      <c r="R215" s="30"/>
    </row>
    <row r="216" spans="6:18" s="1" customFormat="1" x14ac:dyDescent="0.3">
      <c r="F216" s="12"/>
      <c r="H216" s="12"/>
      <c r="N216" s="31"/>
      <c r="O216" s="31"/>
      <c r="P216" s="30"/>
      <c r="Q216" s="30"/>
      <c r="R216" s="30"/>
    </row>
    <row r="217" spans="6:18" s="1" customFormat="1" x14ac:dyDescent="0.3">
      <c r="F217" s="12"/>
      <c r="H217" s="12"/>
      <c r="N217" s="31"/>
      <c r="O217" s="31"/>
      <c r="P217" s="30"/>
      <c r="Q217" s="30"/>
      <c r="R217" s="30"/>
    </row>
    <row r="218" spans="6:18" s="1" customFormat="1" x14ac:dyDescent="0.3">
      <c r="F218" s="12"/>
      <c r="H218" s="12"/>
      <c r="N218" s="31"/>
      <c r="O218" s="31"/>
      <c r="P218" s="30"/>
      <c r="Q218" s="30"/>
      <c r="R218" s="30"/>
    </row>
    <row r="219" spans="6:18" s="1" customFormat="1" x14ac:dyDescent="0.3">
      <c r="F219" s="12"/>
      <c r="H219" s="12"/>
      <c r="N219" s="31"/>
      <c r="O219" s="31"/>
      <c r="P219" s="30"/>
      <c r="Q219" s="30"/>
      <c r="R219" s="30"/>
    </row>
    <row r="220" spans="6:18" s="1" customFormat="1" x14ac:dyDescent="0.3">
      <c r="F220" s="12"/>
      <c r="H220" s="12"/>
      <c r="N220" s="31"/>
      <c r="O220" s="31"/>
      <c r="P220" s="30"/>
      <c r="Q220" s="30"/>
      <c r="R220" s="30"/>
    </row>
    <row r="221" spans="6:18" s="1" customFormat="1" x14ac:dyDescent="0.3">
      <c r="F221" s="12"/>
      <c r="H221" s="12"/>
      <c r="N221" s="31"/>
      <c r="O221" s="31"/>
      <c r="P221" s="30"/>
      <c r="Q221" s="30"/>
      <c r="R221" s="30"/>
    </row>
    <row r="222" spans="6:18" s="1" customFormat="1" x14ac:dyDescent="0.3">
      <c r="F222" s="12"/>
      <c r="H222" s="12"/>
      <c r="N222" s="31"/>
      <c r="O222" s="31"/>
      <c r="P222" s="30"/>
      <c r="Q222" s="30"/>
      <c r="R222" s="30"/>
    </row>
    <row r="223" spans="6:18" s="1" customFormat="1" x14ac:dyDescent="0.3">
      <c r="F223" s="12"/>
      <c r="H223" s="12"/>
      <c r="N223" s="31"/>
      <c r="O223" s="31"/>
      <c r="P223" s="30"/>
      <c r="Q223" s="30"/>
      <c r="R223" s="30"/>
    </row>
    <row r="224" spans="6:18" s="1" customFormat="1" x14ac:dyDescent="0.3">
      <c r="F224" s="12"/>
      <c r="H224" s="12"/>
      <c r="N224" s="31"/>
      <c r="O224" s="31"/>
      <c r="P224" s="30"/>
      <c r="Q224" s="30"/>
      <c r="R224" s="30"/>
    </row>
    <row r="225" spans="6:18" s="1" customFormat="1" x14ac:dyDescent="0.3">
      <c r="F225" s="12"/>
      <c r="H225" s="12"/>
      <c r="N225" s="31"/>
      <c r="O225" s="31"/>
      <c r="P225" s="30"/>
      <c r="Q225" s="30"/>
      <c r="R225" s="30"/>
    </row>
    <row r="226" spans="6:18" s="1" customFormat="1" x14ac:dyDescent="0.3">
      <c r="F226" s="12"/>
      <c r="H226" s="12"/>
      <c r="N226" s="31"/>
      <c r="O226" s="31"/>
      <c r="P226" s="30"/>
      <c r="Q226" s="30"/>
      <c r="R226" s="30"/>
    </row>
    <row r="227" spans="6:18" s="1" customFormat="1" x14ac:dyDescent="0.3">
      <c r="F227" s="12"/>
      <c r="H227" s="12"/>
      <c r="N227" s="31"/>
      <c r="O227" s="31"/>
      <c r="P227" s="30"/>
      <c r="Q227" s="30"/>
      <c r="R227" s="30"/>
    </row>
    <row r="228" spans="6:18" s="1" customFormat="1" x14ac:dyDescent="0.3">
      <c r="F228" s="12"/>
      <c r="H228" s="12"/>
      <c r="N228" s="31"/>
      <c r="O228" s="31"/>
      <c r="P228" s="30"/>
      <c r="Q228" s="30"/>
      <c r="R228" s="30"/>
    </row>
    <row r="229" spans="6:18" s="1" customFormat="1" x14ac:dyDescent="0.3">
      <c r="F229" s="12"/>
      <c r="H229" s="12"/>
      <c r="N229" s="31"/>
      <c r="O229" s="31"/>
      <c r="P229" s="30"/>
      <c r="Q229" s="30"/>
      <c r="R229" s="30"/>
    </row>
    <row r="230" spans="6:18" s="1" customFormat="1" x14ac:dyDescent="0.3">
      <c r="F230" s="12"/>
      <c r="H230" s="12"/>
      <c r="N230" s="31"/>
      <c r="O230" s="31"/>
      <c r="P230" s="30"/>
      <c r="Q230" s="30"/>
      <c r="R230" s="30"/>
    </row>
    <row r="231" spans="6:18" s="1" customFormat="1" x14ac:dyDescent="0.3">
      <c r="F231" s="12"/>
      <c r="H231" s="12"/>
      <c r="N231" s="31"/>
      <c r="O231" s="31"/>
      <c r="P231" s="30"/>
      <c r="Q231" s="30"/>
      <c r="R231" s="30"/>
    </row>
    <row r="232" spans="6:18" s="1" customFormat="1" x14ac:dyDescent="0.3">
      <c r="F232" s="12"/>
      <c r="H232" s="12"/>
      <c r="N232" s="31"/>
      <c r="O232" s="31"/>
      <c r="P232" s="30"/>
      <c r="Q232" s="30"/>
      <c r="R232" s="30"/>
    </row>
    <row r="233" spans="6:18" s="1" customFormat="1" x14ac:dyDescent="0.3">
      <c r="F233" s="12"/>
      <c r="H233" s="12"/>
      <c r="N233" s="31"/>
      <c r="O233" s="31"/>
      <c r="P233" s="30"/>
      <c r="Q233" s="30"/>
      <c r="R233" s="30"/>
    </row>
    <row r="234" spans="6:18" s="1" customFormat="1" x14ac:dyDescent="0.3">
      <c r="F234" s="12"/>
      <c r="H234" s="12"/>
      <c r="N234" s="31"/>
      <c r="O234" s="31"/>
      <c r="P234" s="30"/>
      <c r="Q234" s="30"/>
      <c r="R234" s="30"/>
    </row>
    <row r="235" spans="6:18" s="1" customFormat="1" x14ac:dyDescent="0.3">
      <c r="F235" s="12"/>
      <c r="H235" s="12"/>
      <c r="N235" s="31"/>
      <c r="O235" s="31"/>
      <c r="P235" s="30"/>
      <c r="Q235" s="30"/>
      <c r="R235" s="30"/>
    </row>
    <row r="236" spans="6:18" s="1" customFormat="1" x14ac:dyDescent="0.3">
      <c r="F236" s="12"/>
      <c r="H236" s="12"/>
      <c r="N236" s="31"/>
      <c r="O236" s="31"/>
      <c r="P236" s="30"/>
      <c r="Q236" s="30"/>
      <c r="R236" s="30"/>
    </row>
    <row r="237" spans="6:18" s="1" customFormat="1" x14ac:dyDescent="0.3">
      <c r="F237" s="12"/>
      <c r="H237" s="12"/>
      <c r="N237" s="31"/>
      <c r="O237" s="31"/>
      <c r="P237" s="30"/>
      <c r="Q237" s="30"/>
      <c r="R237" s="30"/>
    </row>
    <row r="238" spans="6:18" s="1" customFormat="1" x14ac:dyDescent="0.3">
      <c r="F238" s="12"/>
      <c r="H238" s="12"/>
      <c r="N238" s="31"/>
      <c r="O238" s="31"/>
      <c r="P238" s="30"/>
      <c r="Q238" s="30"/>
      <c r="R238" s="30"/>
    </row>
    <row r="239" spans="6:18" s="1" customFormat="1" x14ac:dyDescent="0.3">
      <c r="F239" s="12"/>
      <c r="H239" s="12"/>
      <c r="N239" s="31"/>
      <c r="O239" s="31"/>
      <c r="P239" s="30"/>
      <c r="Q239" s="30"/>
      <c r="R239" s="30"/>
    </row>
    <row r="240" spans="6:18" s="1" customFormat="1" x14ac:dyDescent="0.3">
      <c r="F240" s="12"/>
      <c r="H240" s="12"/>
      <c r="N240" s="31"/>
      <c r="O240" s="31"/>
      <c r="P240" s="30"/>
      <c r="Q240" s="30"/>
      <c r="R240" s="30"/>
    </row>
    <row r="241" spans="6:18" s="1" customFormat="1" x14ac:dyDescent="0.3">
      <c r="F241" s="12"/>
      <c r="H241" s="12"/>
      <c r="N241" s="31"/>
      <c r="O241" s="31"/>
      <c r="P241" s="30"/>
      <c r="Q241" s="30"/>
      <c r="R241" s="30"/>
    </row>
    <row r="242" spans="6:18" s="1" customFormat="1" x14ac:dyDescent="0.3">
      <c r="F242" s="12"/>
      <c r="H242" s="12"/>
      <c r="N242" s="31"/>
      <c r="O242" s="31"/>
      <c r="P242" s="30"/>
      <c r="Q242" s="30"/>
      <c r="R242" s="30"/>
    </row>
    <row r="243" spans="6:18" s="1" customFormat="1" x14ac:dyDescent="0.3">
      <c r="F243" s="12"/>
      <c r="H243" s="12"/>
      <c r="N243" s="31"/>
      <c r="O243" s="31"/>
      <c r="P243" s="30"/>
      <c r="Q243" s="30"/>
      <c r="R243" s="30"/>
    </row>
    <row r="244" spans="6:18" s="1" customFormat="1" x14ac:dyDescent="0.3">
      <c r="F244" s="12"/>
      <c r="H244" s="12"/>
      <c r="N244" s="31"/>
      <c r="O244" s="31"/>
      <c r="P244" s="30"/>
      <c r="Q244" s="30"/>
      <c r="R244" s="30"/>
    </row>
    <row r="245" spans="6:18" s="1" customFormat="1" x14ac:dyDescent="0.3">
      <c r="F245" s="12"/>
      <c r="H245" s="12"/>
      <c r="N245" s="31"/>
      <c r="O245" s="31"/>
      <c r="P245" s="30"/>
      <c r="Q245" s="30"/>
      <c r="R245" s="30"/>
    </row>
    <row r="246" spans="6:18" s="1" customFormat="1" x14ac:dyDescent="0.3">
      <c r="F246" s="12"/>
      <c r="H246" s="12"/>
      <c r="N246" s="31"/>
      <c r="O246" s="31"/>
      <c r="P246" s="30"/>
      <c r="Q246" s="30"/>
      <c r="R246" s="30"/>
    </row>
    <row r="247" spans="6:18" s="1" customFormat="1" x14ac:dyDescent="0.3">
      <c r="F247" s="12"/>
      <c r="H247" s="12"/>
      <c r="N247" s="31"/>
      <c r="O247" s="31"/>
      <c r="P247" s="30"/>
      <c r="Q247" s="30"/>
      <c r="R247" s="30"/>
    </row>
    <row r="248" spans="6:18" s="1" customFormat="1" x14ac:dyDescent="0.3">
      <c r="F248" s="12"/>
      <c r="H248" s="12"/>
      <c r="N248" s="31"/>
      <c r="O248" s="31"/>
      <c r="P248" s="30"/>
      <c r="Q248" s="30"/>
      <c r="R248" s="30"/>
    </row>
    <row r="249" spans="6:18" s="1" customFormat="1" x14ac:dyDescent="0.3">
      <c r="F249" s="12"/>
      <c r="H249" s="12"/>
      <c r="N249" s="31"/>
      <c r="O249" s="31"/>
      <c r="P249" s="30"/>
      <c r="Q249" s="30"/>
      <c r="R249" s="30"/>
    </row>
    <row r="250" spans="6:18" s="1" customFormat="1" x14ac:dyDescent="0.3">
      <c r="F250" s="12"/>
      <c r="H250" s="12"/>
      <c r="N250" s="31"/>
      <c r="O250" s="31"/>
      <c r="P250" s="30"/>
      <c r="Q250" s="30"/>
      <c r="R250" s="30"/>
    </row>
    <row r="251" spans="6:18" s="1" customFormat="1" x14ac:dyDescent="0.3">
      <c r="F251" s="12"/>
      <c r="H251" s="12"/>
      <c r="N251" s="31"/>
      <c r="O251" s="31"/>
      <c r="P251" s="30"/>
      <c r="Q251" s="30"/>
      <c r="R251" s="30"/>
    </row>
    <row r="252" spans="6:18" s="1" customFormat="1" x14ac:dyDescent="0.3">
      <c r="F252" s="12"/>
      <c r="H252" s="12"/>
      <c r="N252" s="31"/>
      <c r="O252" s="31"/>
      <c r="P252" s="30"/>
      <c r="Q252" s="30"/>
      <c r="R252" s="30"/>
    </row>
    <row r="253" spans="6:18" s="1" customFormat="1" x14ac:dyDescent="0.3">
      <c r="F253" s="12"/>
      <c r="H253" s="12"/>
      <c r="N253" s="31"/>
      <c r="O253" s="31"/>
      <c r="P253" s="30"/>
      <c r="Q253" s="30"/>
      <c r="R253" s="30"/>
    </row>
    <row r="254" spans="6:18" s="1" customFormat="1" x14ac:dyDescent="0.3">
      <c r="F254" s="12"/>
      <c r="H254" s="12"/>
      <c r="N254" s="31"/>
      <c r="O254" s="31"/>
      <c r="P254" s="30"/>
      <c r="Q254" s="30"/>
      <c r="R254" s="30"/>
    </row>
    <row r="255" spans="6:18" s="1" customFormat="1" x14ac:dyDescent="0.3">
      <c r="F255" s="12"/>
      <c r="H255" s="12"/>
      <c r="N255" s="31"/>
      <c r="O255" s="31"/>
      <c r="P255" s="30"/>
      <c r="Q255" s="30"/>
      <c r="R255" s="30"/>
    </row>
    <row r="256" spans="6:18" s="1" customFormat="1" x14ac:dyDescent="0.3">
      <c r="F256" s="12"/>
      <c r="H256" s="12"/>
      <c r="N256" s="31"/>
      <c r="O256" s="31"/>
      <c r="P256" s="30"/>
      <c r="Q256" s="30"/>
      <c r="R256" s="30"/>
    </row>
    <row r="257" spans="6:18" s="1" customFormat="1" x14ac:dyDescent="0.3">
      <c r="F257" s="12"/>
      <c r="H257" s="12"/>
      <c r="N257" s="31"/>
      <c r="O257" s="31"/>
      <c r="P257" s="30"/>
      <c r="Q257" s="30"/>
      <c r="R257" s="30"/>
    </row>
    <row r="258" spans="6:18" s="1" customFormat="1" x14ac:dyDescent="0.3">
      <c r="F258" s="12"/>
      <c r="H258" s="12"/>
      <c r="N258" s="31"/>
      <c r="O258" s="31"/>
      <c r="P258" s="30"/>
      <c r="Q258" s="30"/>
      <c r="R258" s="30"/>
    </row>
    <row r="259" spans="6:18" s="1" customFormat="1" x14ac:dyDescent="0.3">
      <c r="F259" s="12"/>
      <c r="H259" s="12"/>
      <c r="N259" s="31"/>
      <c r="O259" s="31"/>
      <c r="P259" s="30"/>
      <c r="Q259" s="30"/>
      <c r="R259" s="30"/>
    </row>
    <row r="260" spans="6:18" s="1" customFormat="1" x14ac:dyDescent="0.3">
      <c r="F260" s="12"/>
      <c r="H260" s="12"/>
      <c r="N260" s="31"/>
      <c r="O260" s="31"/>
      <c r="P260" s="30"/>
      <c r="Q260" s="30"/>
      <c r="R260" s="30"/>
    </row>
    <row r="261" spans="6:18" s="1" customFormat="1" x14ac:dyDescent="0.3">
      <c r="F261" s="12"/>
      <c r="H261" s="12"/>
      <c r="N261" s="31"/>
      <c r="O261" s="31"/>
      <c r="P261" s="30"/>
      <c r="Q261" s="30"/>
      <c r="R261" s="30"/>
    </row>
    <row r="262" spans="6:18" s="1" customFormat="1" x14ac:dyDescent="0.3">
      <c r="F262" s="12"/>
      <c r="H262" s="12"/>
      <c r="N262" s="31"/>
      <c r="O262" s="31"/>
      <c r="P262" s="30"/>
      <c r="Q262" s="30"/>
      <c r="R262" s="30"/>
    </row>
    <row r="263" spans="6:18" s="1" customFormat="1" x14ac:dyDescent="0.3">
      <c r="F263" s="12"/>
      <c r="H263" s="12"/>
      <c r="N263" s="31"/>
      <c r="O263" s="31"/>
      <c r="P263" s="30"/>
      <c r="Q263" s="30"/>
      <c r="R263" s="30"/>
    </row>
    <row r="264" spans="6:18" s="1" customFormat="1" x14ac:dyDescent="0.3">
      <c r="F264" s="12"/>
      <c r="H264" s="12"/>
      <c r="N264" s="31"/>
      <c r="O264" s="31"/>
      <c r="P264" s="30"/>
      <c r="Q264" s="30"/>
      <c r="R264" s="30"/>
    </row>
    <row r="265" spans="6:18" s="1" customFormat="1" x14ac:dyDescent="0.3">
      <c r="F265" s="12"/>
      <c r="H265" s="12"/>
      <c r="N265" s="31"/>
      <c r="O265" s="31"/>
      <c r="P265" s="30"/>
      <c r="Q265" s="30"/>
      <c r="R265" s="30"/>
    </row>
    <row r="266" spans="6:18" s="1" customFormat="1" x14ac:dyDescent="0.3">
      <c r="F266" s="12"/>
      <c r="H266" s="12"/>
      <c r="N266" s="31"/>
      <c r="O266" s="31"/>
      <c r="P266" s="30"/>
      <c r="Q266" s="30"/>
      <c r="R266" s="30"/>
    </row>
    <row r="267" spans="6:18" s="1" customFormat="1" x14ac:dyDescent="0.3">
      <c r="F267" s="12"/>
      <c r="H267" s="12"/>
      <c r="N267" s="31"/>
      <c r="O267" s="31"/>
      <c r="P267" s="30"/>
      <c r="Q267" s="30"/>
      <c r="R267" s="30"/>
    </row>
    <row r="268" spans="6:18" s="1" customFormat="1" x14ac:dyDescent="0.3">
      <c r="F268" s="12"/>
      <c r="H268" s="12"/>
      <c r="N268" s="31"/>
      <c r="O268" s="31"/>
      <c r="P268" s="30"/>
      <c r="Q268" s="30"/>
      <c r="R268" s="30"/>
    </row>
    <row r="269" spans="6:18" s="1" customFormat="1" x14ac:dyDescent="0.3">
      <c r="F269" s="12"/>
      <c r="H269" s="12"/>
      <c r="N269" s="31"/>
      <c r="O269" s="31"/>
      <c r="P269" s="30"/>
      <c r="Q269" s="30"/>
      <c r="R269" s="30"/>
    </row>
    <row r="270" spans="6:18" s="1" customFormat="1" x14ac:dyDescent="0.3">
      <c r="F270" s="12"/>
      <c r="H270" s="12"/>
      <c r="N270" s="31"/>
      <c r="O270" s="31"/>
      <c r="P270" s="30"/>
      <c r="Q270" s="30"/>
      <c r="R270" s="30"/>
    </row>
    <row r="271" spans="6:18" s="1" customFormat="1" x14ac:dyDescent="0.3">
      <c r="F271" s="12"/>
      <c r="H271" s="12"/>
      <c r="N271" s="31"/>
      <c r="O271" s="31"/>
      <c r="P271" s="30"/>
      <c r="Q271" s="30"/>
      <c r="R271" s="30"/>
    </row>
    <row r="272" spans="6:18" s="1" customFormat="1" x14ac:dyDescent="0.3">
      <c r="F272" s="12"/>
      <c r="H272" s="12"/>
      <c r="N272" s="31"/>
      <c r="O272" s="31"/>
      <c r="P272" s="30"/>
      <c r="Q272" s="30"/>
      <c r="R272" s="30"/>
    </row>
    <row r="273" spans="6:18" s="1" customFormat="1" x14ac:dyDescent="0.3">
      <c r="F273" s="12"/>
      <c r="H273" s="12"/>
      <c r="N273" s="31"/>
      <c r="O273" s="31"/>
      <c r="P273" s="30"/>
      <c r="Q273" s="30"/>
      <c r="R273" s="30"/>
    </row>
    <row r="274" spans="6:18" s="1" customFormat="1" x14ac:dyDescent="0.3">
      <c r="F274" s="12"/>
      <c r="H274" s="12"/>
      <c r="N274" s="31"/>
      <c r="O274" s="31"/>
      <c r="P274" s="30"/>
      <c r="Q274" s="30"/>
      <c r="R274" s="30"/>
    </row>
    <row r="275" spans="6:18" s="1" customFormat="1" x14ac:dyDescent="0.3">
      <c r="F275" s="12"/>
      <c r="H275" s="12"/>
      <c r="N275" s="31"/>
      <c r="O275" s="31"/>
      <c r="P275" s="30"/>
      <c r="Q275" s="30"/>
      <c r="R275" s="30"/>
    </row>
    <row r="276" spans="6:18" s="1" customFormat="1" x14ac:dyDescent="0.3">
      <c r="F276" s="12"/>
      <c r="H276" s="12"/>
      <c r="N276" s="31"/>
      <c r="O276" s="31"/>
      <c r="P276" s="30"/>
      <c r="Q276" s="30"/>
      <c r="R276" s="30"/>
    </row>
    <row r="277" spans="6:18" s="1" customFormat="1" x14ac:dyDescent="0.3">
      <c r="F277" s="12"/>
      <c r="H277" s="12"/>
      <c r="N277" s="31"/>
      <c r="O277" s="31"/>
      <c r="P277" s="30"/>
      <c r="Q277" s="30"/>
      <c r="R277" s="30"/>
    </row>
    <row r="278" spans="6:18" s="1" customFormat="1" x14ac:dyDescent="0.3">
      <c r="F278" s="12"/>
      <c r="H278" s="12"/>
      <c r="N278" s="31"/>
      <c r="O278" s="31"/>
      <c r="P278" s="30"/>
      <c r="Q278" s="30"/>
      <c r="R278" s="30"/>
    </row>
    <row r="279" spans="6:18" s="1" customFormat="1" x14ac:dyDescent="0.3">
      <c r="F279" s="12"/>
      <c r="H279" s="12"/>
      <c r="N279" s="31"/>
      <c r="O279" s="31"/>
      <c r="P279" s="30"/>
      <c r="Q279" s="30"/>
      <c r="R279" s="30"/>
    </row>
    <row r="280" spans="6:18" s="1" customFormat="1" x14ac:dyDescent="0.3">
      <c r="F280" s="12"/>
      <c r="H280" s="12"/>
      <c r="N280" s="31"/>
      <c r="O280" s="31"/>
      <c r="P280" s="30"/>
      <c r="Q280" s="30"/>
      <c r="R280" s="30"/>
    </row>
    <row r="281" spans="6:18" s="1" customFormat="1" x14ac:dyDescent="0.3">
      <c r="F281" s="12"/>
      <c r="H281" s="12"/>
      <c r="N281" s="31"/>
      <c r="O281" s="31"/>
      <c r="P281" s="30"/>
      <c r="Q281" s="30"/>
      <c r="R281" s="30"/>
    </row>
    <row r="282" spans="6:18" s="1" customFormat="1" x14ac:dyDescent="0.3">
      <c r="F282" s="12"/>
      <c r="H282" s="12"/>
      <c r="N282" s="31"/>
      <c r="O282" s="31"/>
      <c r="P282" s="30"/>
      <c r="Q282" s="30"/>
      <c r="R282" s="30"/>
    </row>
    <row r="283" spans="6:18" s="1" customFormat="1" x14ac:dyDescent="0.3">
      <c r="F283" s="12"/>
      <c r="H283" s="12"/>
      <c r="N283" s="31"/>
      <c r="O283" s="31"/>
      <c r="P283" s="30"/>
      <c r="Q283" s="30"/>
      <c r="R283" s="30"/>
    </row>
    <row r="284" spans="6:18" s="1" customFormat="1" x14ac:dyDescent="0.3">
      <c r="F284" s="12"/>
      <c r="H284" s="12"/>
      <c r="N284" s="31"/>
      <c r="O284" s="31"/>
      <c r="P284" s="30"/>
      <c r="Q284" s="30"/>
      <c r="R284" s="30"/>
    </row>
    <row r="285" spans="6:18" s="1" customFormat="1" x14ac:dyDescent="0.3">
      <c r="F285" s="12"/>
      <c r="H285" s="12"/>
      <c r="N285" s="31"/>
      <c r="O285" s="31"/>
      <c r="P285" s="30"/>
      <c r="Q285" s="30"/>
      <c r="R285" s="30"/>
    </row>
    <row r="286" spans="6:18" s="1" customFormat="1" x14ac:dyDescent="0.3">
      <c r="F286" s="12"/>
      <c r="H286" s="12"/>
      <c r="N286" s="31"/>
      <c r="O286" s="31"/>
      <c r="P286" s="30"/>
      <c r="Q286" s="30"/>
      <c r="R286" s="30"/>
    </row>
    <row r="287" spans="6:18" s="1" customFormat="1" x14ac:dyDescent="0.3">
      <c r="F287" s="12"/>
      <c r="H287" s="12"/>
      <c r="N287" s="31"/>
      <c r="O287" s="31"/>
      <c r="P287" s="30"/>
      <c r="Q287" s="30"/>
      <c r="R287" s="30"/>
    </row>
    <row r="288" spans="6:18" s="1" customFormat="1" x14ac:dyDescent="0.3">
      <c r="F288" s="12"/>
      <c r="H288" s="12"/>
      <c r="N288" s="31"/>
      <c r="O288" s="31"/>
      <c r="P288" s="30"/>
      <c r="Q288" s="30"/>
      <c r="R288" s="30"/>
    </row>
    <row r="289" spans="6:18" s="1" customFormat="1" x14ac:dyDescent="0.3">
      <c r="F289" s="12"/>
      <c r="H289" s="12"/>
      <c r="N289" s="31"/>
      <c r="O289" s="31"/>
      <c r="P289" s="30"/>
      <c r="Q289" s="30"/>
      <c r="R289" s="30"/>
    </row>
    <row r="290" spans="6:18" s="1" customFormat="1" x14ac:dyDescent="0.3">
      <c r="F290" s="12"/>
      <c r="H290" s="12"/>
      <c r="N290" s="31"/>
      <c r="O290" s="31"/>
      <c r="P290" s="30"/>
      <c r="Q290" s="30"/>
      <c r="R290" s="30"/>
    </row>
    <row r="291" spans="6:18" s="1" customFormat="1" x14ac:dyDescent="0.3">
      <c r="F291" s="12"/>
      <c r="H291" s="12"/>
      <c r="N291" s="31"/>
      <c r="O291" s="31"/>
      <c r="P291" s="30"/>
      <c r="Q291" s="30"/>
      <c r="R291" s="30"/>
    </row>
    <row r="292" spans="6:18" s="1" customFormat="1" x14ac:dyDescent="0.3">
      <c r="F292" s="12"/>
      <c r="H292" s="12"/>
      <c r="N292" s="31"/>
      <c r="O292" s="31"/>
      <c r="P292" s="30"/>
      <c r="Q292" s="30"/>
      <c r="R292" s="30"/>
    </row>
    <row r="293" spans="6:18" s="1" customFormat="1" x14ac:dyDescent="0.3">
      <c r="F293" s="12"/>
      <c r="H293" s="12"/>
      <c r="N293" s="31"/>
      <c r="O293" s="31"/>
      <c r="P293" s="30"/>
      <c r="Q293" s="30"/>
      <c r="R293" s="30"/>
    </row>
    <row r="294" spans="6:18" s="1" customFormat="1" x14ac:dyDescent="0.3">
      <c r="F294" s="12"/>
      <c r="H294" s="12"/>
      <c r="N294" s="31"/>
      <c r="O294" s="31"/>
      <c r="P294" s="30"/>
      <c r="Q294" s="30"/>
      <c r="R294" s="30"/>
    </row>
    <row r="295" spans="6:18" s="1" customFormat="1" x14ac:dyDescent="0.3">
      <c r="F295" s="12"/>
      <c r="H295" s="12"/>
      <c r="N295" s="31"/>
      <c r="O295" s="31"/>
      <c r="P295" s="30"/>
      <c r="Q295" s="30"/>
      <c r="R295" s="30"/>
    </row>
    <row r="296" spans="6:18" s="1" customFormat="1" x14ac:dyDescent="0.3">
      <c r="F296" s="12"/>
      <c r="H296" s="12"/>
      <c r="N296" s="31"/>
      <c r="O296" s="31"/>
      <c r="P296" s="30"/>
      <c r="Q296" s="30"/>
      <c r="R296" s="30"/>
    </row>
    <row r="297" spans="6:18" s="1" customFormat="1" x14ac:dyDescent="0.3">
      <c r="F297" s="12"/>
      <c r="H297" s="12"/>
      <c r="N297" s="31"/>
      <c r="O297" s="31"/>
      <c r="P297" s="30"/>
      <c r="Q297" s="30"/>
      <c r="R297" s="30"/>
    </row>
    <row r="298" spans="6:18" s="1" customFormat="1" x14ac:dyDescent="0.3">
      <c r="F298" s="12"/>
      <c r="H298" s="12"/>
      <c r="N298" s="31"/>
      <c r="O298" s="31"/>
      <c r="P298" s="30"/>
      <c r="Q298" s="30"/>
      <c r="R298" s="30"/>
    </row>
    <row r="299" spans="6:18" s="1" customFormat="1" x14ac:dyDescent="0.3">
      <c r="F299" s="12"/>
      <c r="H299" s="12"/>
      <c r="N299" s="31"/>
      <c r="O299" s="31"/>
      <c r="P299" s="30"/>
      <c r="Q299" s="30"/>
      <c r="R299" s="30"/>
    </row>
    <row r="300" spans="6:18" s="1" customFormat="1" x14ac:dyDescent="0.3">
      <c r="F300" s="12"/>
      <c r="H300" s="12"/>
      <c r="N300" s="31"/>
      <c r="O300" s="31"/>
      <c r="P300" s="30"/>
      <c r="Q300" s="30"/>
      <c r="R300" s="30"/>
    </row>
    <row r="301" spans="6:18" s="1" customFormat="1" x14ac:dyDescent="0.3">
      <c r="F301" s="12"/>
      <c r="H301" s="12"/>
      <c r="N301" s="31"/>
      <c r="O301" s="31"/>
      <c r="P301" s="30"/>
      <c r="Q301" s="30"/>
      <c r="R301" s="30"/>
    </row>
    <row r="302" spans="6:18" s="1" customFormat="1" x14ac:dyDescent="0.3">
      <c r="F302" s="12"/>
      <c r="H302" s="12"/>
      <c r="N302" s="31"/>
      <c r="O302" s="31"/>
      <c r="P302" s="30"/>
      <c r="Q302" s="30"/>
      <c r="R302" s="30"/>
    </row>
    <row r="303" spans="6:18" s="1" customFormat="1" x14ac:dyDescent="0.3">
      <c r="F303" s="12"/>
      <c r="H303" s="12"/>
      <c r="N303" s="31"/>
      <c r="O303" s="31"/>
      <c r="P303" s="30"/>
      <c r="Q303" s="30"/>
      <c r="R303" s="30"/>
    </row>
    <row r="304" spans="6:18" s="1" customFormat="1" x14ac:dyDescent="0.3">
      <c r="F304" s="12"/>
      <c r="H304" s="12"/>
      <c r="N304" s="31"/>
      <c r="O304" s="31"/>
      <c r="P304" s="30"/>
      <c r="Q304" s="30"/>
      <c r="R304" s="30"/>
    </row>
    <row r="305" spans="6:18" s="1" customFormat="1" x14ac:dyDescent="0.3">
      <c r="F305" s="12"/>
      <c r="H305" s="12"/>
      <c r="N305" s="31"/>
      <c r="O305" s="31"/>
      <c r="P305" s="30"/>
      <c r="Q305" s="30"/>
      <c r="R305" s="30"/>
    </row>
    <row r="306" spans="6:18" s="1" customFormat="1" x14ac:dyDescent="0.3">
      <c r="F306" s="12"/>
      <c r="H306" s="12"/>
      <c r="N306" s="31"/>
      <c r="O306" s="31"/>
      <c r="P306" s="30"/>
      <c r="Q306" s="30"/>
      <c r="R306" s="30"/>
    </row>
    <row r="307" spans="6:18" s="1" customFormat="1" x14ac:dyDescent="0.3">
      <c r="F307" s="12"/>
      <c r="H307" s="12"/>
      <c r="N307" s="31"/>
      <c r="O307" s="31"/>
      <c r="P307" s="30"/>
      <c r="Q307" s="30"/>
      <c r="R307" s="30"/>
    </row>
    <row r="308" spans="6:18" s="1" customFormat="1" x14ac:dyDescent="0.3">
      <c r="F308" s="12"/>
      <c r="H308" s="12"/>
      <c r="N308" s="31"/>
      <c r="O308" s="31"/>
      <c r="P308" s="30"/>
      <c r="Q308" s="30"/>
      <c r="R308" s="30"/>
    </row>
    <row r="309" spans="6:18" s="1" customFormat="1" x14ac:dyDescent="0.3">
      <c r="F309" s="12"/>
      <c r="H309" s="12"/>
      <c r="N309" s="31"/>
      <c r="O309" s="31"/>
      <c r="P309" s="30"/>
      <c r="Q309" s="30"/>
      <c r="R309" s="30"/>
    </row>
    <row r="310" spans="6:18" s="1" customFormat="1" x14ac:dyDescent="0.3">
      <c r="F310" s="12"/>
      <c r="H310" s="12"/>
      <c r="N310" s="31"/>
      <c r="O310" s="31"/>
      <c r="P310" s="30"/>
      <c r="Q310" s="30"/>
      <c r="R310" s="30"/>
    </row>
    <row r="311" spans="6:18" s="1" customFormat="1" x14ac:dyDescent="0.3">
      <c r="F311" s="12"/>
      <c r="H311" s="12"/>
      <c r="N311" s="31"/>
      <c r="O311" s="31"/>
      <c r="P311" s="30"/>
      <c r="Q311" s="30"/>
      <c r="R311" s="30"/>
    </row>
    <row r="312" spans="6:18" s="1" customFormat="1" x14ac:dyDescent="0.3">
      <c r="F312" s="12"/>
      <c r="H312" s="12"/>
      <c r="N312" s="31"/>
      <c r="O312" s="31"/>
      <c r="P312" s="30"/>
      <c r="Q312" s="30"/>
      <c r="R312" s="30"/>
    </row>
    <row r="313" spans="6:18" s="1" customFormat="1" x14ac:dyDescent="0.3">
      <c r="F313" s="12"/>
      <c r="H313" s="12"/>
      <c r="N313" s="31"/>
      <c r="O313" s="31"/>
      <c r="P313" s="30"/>
      <c r="Q313" s="30"/>
      <c r="R313" s="30"/>
    </row>
    <row r="314" spans="6:18" s="1" customFormat="1" x14ac:dyDescent="0.3">
      <c r="F314" s="12"/>
      <c r="H314" s="12"/>
      <c r="N314" s="31"/>
      <c r="O314" s="31"/>
      <c r="P314" s="30"/>
      <c r="Q314" s="30"/>
      <c r="R314" s="30"/>
    </row>
    <row r="315" spans="6:18" s="1" customFormat="1" x14ac:dyDescent="0.3">
      <c r="F315" s="12"/>
      <c r="H315" s="12"/>
      <c r="N315" s="31"/>
      <c r="O315" s="31"/>
      <c r="P315" s="30"/>
      <c r="Q315" s="30"/>
      <c r="R315" s="30"/>
    </row>
    <row r="316" spans="6:18" s="1" customFormat="1" x14ac:dyDescent="0.3">
      <c r="F316" s="12"/>
      <c r="H316" s="12"/>
      <c r="N316" s="31"/>
      <c r="O316" s="31"/>
      <c r="P316" s="30"/>
      <c r="Q316" s="30"/>
      <c r="R316" s="30"/>
    </row>
    <row r="317" spans="6:18" s="1" customFormat="1" x14ac:dyDescent="0.3">
      <c r="F317" s="12"/>
      <c r="H317" s="12"/>
      <c r="N317" s="31"/>
      <c r="O317" s="31"/>
      <c r="P317" s="30"/>
      <c r="Q317" s="30"/>
      <c r="R317" s="30"/>
    </row>
    <row r="318" spans="6:18" s="1" customFormat="1" x14ac:dyDescent="0.3">
      <c r="F318" s="12"/>
      <c r="H318" s="12"/>
      <c r="N318" s="31"/>
      <c r="O318" s="31"/>
      <c r="P318" s="30"/>
      <c r="Q318" s="30"/>
      <c r="R318" s="30"/>
    </row>
    <row r="319" spans="6:18" s="1" customFormat="1" x14ac:dyDescent="0.3">
      <c r="F319" s="12"/>
      <c r="H319" s="12"/>
      <c r="N319" s="31"/>
      <c r="O319" s="31"/>
      <c r="P319" s="30"/>
      <c r="Q319" s="30"/>
      <c r="R319" s="30"/>
    </row>
    <row r="320" spans="6:18" s="1" customFormat="1" x14ac:dyDescent="0.3">
      <c r="F320" s="12"/>
      <c r="H320" s="12"/>
      <c r="N320" s="31"/>
      <c r="O320" s="31"/>
      <c r="P320" s="30"/>
      <c r="Q320" s="30"/>
      <c r="R320" s="30"/>
    </row>
    <row r="321" spans="6:18" s="1" customFormat="1" x14ac:dyDescent="0.3">
      <c r="F321" s="12"/>
      <c r="H321" s="12"/>
      <c r="N321" s="31"/>
      <c r="O321" s="31"/>
      <c r="P321" s="30"/>
      <c r="Q321" s="30"/>
      <c r="R321" s="30"/>
    </row>
    <row r="322" spans="6:18" s="1" customFormat="1" x14ac:dyDescent="0.3">
      <c r="F322" s="12"/>
      <c r="H322" s="12"/>
      <c r="N322" s="31"/>
      <c r="O322" s="31"/>
      <c r="P322" s="30"/>
      <c r="Q322" s="30"/>
      <c r="R322" s="30"/>
    </row>
    <row r="323" spans="6:18" s="1" customFormat="1" x14ac:dyDescent="0.3">
      <c r="F323" s="12"/>
      <c r="H323" s="12"/>
      <c r="N323" s="31"/>
      <c r="O323" s="31"/>
      <c r="P323" s="30"/>
      <c r="Q323" s="30"/>
      <c r="R323" s="30"/>
    </row>
    <row r="324" spans="6:18" s="1" customFormat="1" x14ac:dyDescent="0.3">
      <c r="F324" s="12"/>
      <c r="H324" s="12"/>
      <c r="N324" s="31"/>
      <c r="O324" s="31"/>
      <c r="P324" s="30"/>
      <c r="Q324" s="30"/>
      <c r="R324" s="30"/>
    </row>
    <row r="325" spans="6:18" s="1" customFormat="1" x14ac:dyDescent="0.3">
      <c r="F325" s="12"/>
      <c r="H325" s="12"/>
      <c r="N325" s="31"/>
      <c r="O325" s="31"/>
      <c r="P325" s="30"/>
      <c r="Q325" s="30"/>
      <c r="R325" s="30"/>
    </row>
    <row r="326" spans="6:18" s="1" customFormat="1" x14ac:dyDescent="0.3">
      <c r="F326" s="12"/>
      <c r="H326" s="12"/>
      <c r="N326" s="31"/>
      <c r="O326" s="31"/>
      <c r="P326" s="30"/>
      <c r="Q326" s="30"/>
      <c r="R326" s="30"/>
    </row>
    <row r="327" spans="6:18" s="1" customFormat="1" x14ac:dyDescent="0.3">
      <c r="F327" s="12"/>
      <c r="H327" s="12"/>
      <c r="N327" s="31"/>
      <c r="O327" s="31"/>
      <c r="P327" s="30"/>
      <c r="Q327" s="30"/>
      <c r="R327" s="30"/>
    </row>
    <row r="328" spans="6:18" s="1" customFormat="1" x14ac:dyDescent="0.3">
      <c r="F328" s="12"/>
      <c r="H328" s="12"/>
      <c r="N328" s="31"/>
      <c r="O328" s="31"/>
      <c r="P328" s="30"/>
      <c r="Q328" s="30"/>
      <c r="R328" s="30"/>
    </row>
    <row r="329" spans="6:18" s="1" customFormat="1" x14ac:dyDescent="0.3">
      <c r="F329" s="12"/>
      <c r="H329" s="12"/>
      <c r="N329" s="31"/>
      <c r="O329" s="31"/>
      <c r="P329" s="30"/>
      <c r="Q329" s="30"/>
      <c r="R329" s="30"/>
    </row>
    <row r="330" spans="6:18" s="1" customFormat="1" x14ac:dyDescent="0.3">
      <c r="F330" s="12"/>
      <c r="H330" s="12"/>
      <c r="N330" s="31"/>
      <c r="O330" s="31"/>
      <c r="P330" s="30"/>
      <c r="Q330" s="30"/>
      <c r="R330" s="30"/>
    </row>
    <row r="331" spans="6:18" s="1" customFormat="1" x14ac:dyDescent="0.3">
      <c r="F331" s="12"/>
      <c r="H331" s="12"/>
      <c r="N331" s="31"/>
      <c r="O331" s="31"/>
      <c r="P331" s="30"/>
      <c r="Q331" s="30"/>
      <c r="R331" s="30"/>
    </row>
    <row r="332" spans="6:18" s="1" customFormat="1" x14ac:dyDescent="0.3">
      <c r="F332" s="12"/>
      <c r="H332" s="12"/>
      <c r="N332" s="31"/>
      <c r="O332" s="31"/>
      <c r="P332" s="30"/>
      <c r="Q332" s="30"/>
      <c r="R332" s="30"/>
    </row>
    <row r="333" spans="6:18" s="1" customFormat="1" x14ac:dyDescent="0.3">
      <c r="F333" s="12"/>
      <c r="H333" s="12"/>
      <c r="N333" s="31"/>
      <c r="O333" s="31"/>
      <c r="P333" s="30"/>
      <c r="Q333" s="30"/>
      <c r="R333" s="30"/>
    </row>
    <row r="334" spans="6:18" s="1" customFormat="1" x14ac:dyDescent="0.3">
      <c r="F334" s="12"/>
      <c r="H334" s="12"/>
      <c r="N334" s="31"/>
      <c r="O334" s="31"/>
      <c r="P334" s="30"/>
      <c r="Q334" s="30"/>
      <c r="R334" s="30"/>
    </row>
    <row r="335" spans="6:18" s="1" customFormat="1" x14ac:dyDescent="0.3">
      <c r="F335" s="12"/>
      <c r="H335" s="12"/>
      <c r="N335" s="31"/>
      <c r="O335" s="31"/>
      <c r="P335" s="30"/>
      <c r="Q335" s="30"/>
      <c r="R335" s="30"/>
    </row>
    <row r="336" spans="6:18" s="1" customFormat="1" x14ac:dyDescent="0.3">
      <c r="F336" s="12"/>
      <c r="H336" s="12"/>
      <c r="N336" s="31"/>
      <c r="O336" s="31"/>
      <c r="P336" s="30"/>
      <c r="Q336" s="30"/>
      <c r="R336" s="30"/>
    </row>
    <row r="337" spans="6:18" s="1" customFormat="1" x14ac:dyDescent="0.3">
      <c r="F337" s="12"/>
      <c r="H337" s="12"/>
      <c r="N337" s="31"/>
      <c r="O337" s="31"/>
      <c r="P337" s="30"/>
      <c r="Q337" s="30"/>
      <c r="R337" s="30"/>
    </row>
    <row r="338" spans="6:18" s="1" customFormat="1" x14ac:dyDescent="0.3">
      <c r="F338" s="12"/>
      <c r="H338" s="12"/>
      <c r="N338" s="31"/>
      <c r="O338" s="31"/>
      <c r="P338" s="30"/>
      <c r="Q338" s="30"/>
      <c r="R338" s="30"/>
    </row>
    <row r="339" spans="6:18" s="1" customFormat="1" x14ac:dyDescent="0.3">
      <c r="F339" s="12"/>
      <c r="H339" s="12"/>
      <c r="N339" s="31"/>
      <c r="O339" s="31"/>
      <c r="P339" s="30"/>
      <c r="Q339" s="30"/>
      <c r="R339" s="30"/>
    </row>
    <row r="340" spans="6:18" s="1" customFormat="1" x14ac:dyDescent="0.3">
      <c r="F340" s="12"/>
      <c r="H340" s="12"/>
      <c r="N340" s="31"/>
      <c r="O340" s="31"/>
      <c r="P340" s="30"/>
      <c r="Q340" s="30"/>
      <c r="R340" s="30"/>
    </row>
    <row r="341" spans="6:18" s="1" customFormat="1" x14ac:dyDescent="0.3">
      <c r="F341" s="12"/>
      <c r="H341" s="12"/>
      <c r="N341" s="31"/>
      <c r="O341" s="31"/>
      <c r="P341" s="30"/>
      <c r="Q341" s="30"/>
      <c r="R341" s="30"/>
    </row>
    <row r="342" spans="6:18" s="1" customFormat="1" x14ac:dyDescent="0.3">
      <c r="F342" s="12"/>
      <c r="H342" s="12"/>
      <c r="N342" s="31"/>
      <c r="O342" s="31"/>
      <c r="P342" s="30"/>
      <c r="Q342" s="30"/>
      <c r="R342" s="30"/>
    </row>
    <row r="343" spans="6:18" s="1" customFormat="1" x14ac:dyDescent="0.3">
      <c r="F343" s="12"/>
      <c r="H343" s="12"/>
      <c r="N343" s="31"/>
      <c r="O343" s="31"/>
      <c r="P343" s="30"/>
      <c r="Q343" s="30"/>
      <c r="R343" s="30"/>
    </row>
    <row r="344" spans="6:18" s="1" customFormat="1" x14ac:dyDescent="0.3">
      <c r="F344" s="12"/>
      <c r="H344" s="12"/>
      <c r="N344" s="31"/>
      <c r="O344" s="31"/>
      <c r="P344" s="30"/>
      <c r="Q344" s="30"/>
      <c r="R344" s="30"/>
    </row>
    <row r="345" spans="6:18" s="1" customFormat="1" x14ac:dyDescent="0.3">
      <c r="F345" s="12"/>
      <c r="H345" s="12"/>
      <c r="N345" s="31"/>
      <c r="O345" s="31"/>
      <c r="P345" s="30"/>
      <c r="Q345" s="30"/>
      <c r="R345" s="30"/>
    </row>
    <row r="346" spans="6:18" s="1" customFormat="1" x14ac:dyDescent="0.3">
      <c r="F346" s="12"/>
      <c r="H346" s="12"/>
      <c r="N346" s="31"/>
      <c r="O346" s="31"/>
      <c r="P346" s="30"/>
      <c r="Q346" s="30"/>
      <c r="R346" s="30"/>
    </row>
    <row r="347" spans="6:18" s="1" customFormat="1" x14ac:dyDescent="0.3">
      <c r="F347" s="12"/>
      <c r="H347" s="12"/>
      <c r="N347" s="31"/>
      <c r="O347" s="31"/>
      <c r="P347" s="30"/>
      <c r="Q347" s="30"/>
      <c r="R347" s="30"/>
    </row>
    <row r="348" spans="6:18" s="1" customFormat="1" x14ac:dyDescent="0.3">
      <c r="F348" s="12"/>
      <c r="H348" s="12"/>
      <c r="N348" s="31"/>
      <c r="O348" s="31"/>
      <c r="P348" s="30"/>
      <c r="Q348" s="30"/>
      <c r="R348" s="30"/>
    </row>
    <row r="349" spans="6:18" s="1" customFormat="1" x14ac:dyDescent="0.3">
      <c r="F349" s="12"/>
      <c r="H349" s="12"/>
      <c r="N349" s="31"/>
      <c r="O349" s="31"/>
      <c r="P349" s="30"/>
      <c r="Q349" s="30"/>
      <c r="R349" s="30"/>
    </row>
    <row r="350" spans="6:18" s="1" customFormat="1" x14ac:dyDescent="0.3">
      <c r="F350" s="12"/>
      <c r="H350" s="12"/>
      <c r="N350" s="31"/>
      <c r="O350" s="31"/>
      <c r="P350" s="30"/>
      <c r="Q350" s="30"/>
      <c r="R350" s="30"/>
    </row>
    <row r="351" spans="6:18" s="1" customFormat="1" x14ac:dyDescent="0.3">
      <c r="F351" s="12"/>
      <c r="H351" s="12"/>
      <c r="N351" s="31"/>
      <c r="O351" s="31"/>
      <c r="P351" s="30"/>
      <c r="Q351" s="30"/>
      <c r="R351" s="30"/>
    </row>
    <row r="352" spans="6:18" s="1" customFormat="1" x14ac:dyDescent="0.3">
      <c r="F352" s="12"/>
      <c r="H352" s="12"/>
      <c r="N352" s="31"/>
      <c r="O352" s="31"/>
      <c r="P352" s="30"/>
      <c r="Q352" s="30"/>
      <c r="R352" s="30"/>
    </row>
    <row r="353" spans="6:18" s="1" customFormat="1" x14ac:dyDescent="0.3">
      <c r="F353" s="12"/>
      <c r="H353" s="12"/>
      <c r="N353" s="31"/>
      <c r="O353" s="31"/>
      <c r="P353" s="30"/>
      <c r="Q353" s="30"/>
      <c r="R353" s="30"/>
    </row>
    <row r="354" spans="6:18" s="1" customFormat="1" x14ac:dyDescent="0.3">
      <c r="F354" s="12"/>
      <c r="H354" s="12"/>
      <c r="N354" s="31"/>
      <c r="O354" s="31"/>
      <c r="P354" s="30"/>
      <c r="Q354" s="30"/>
      <c r="R354" s="30"/>
    </row>
    <row r="355" spans="6:18" s="1" customFormat="1" x14ac:dyDescent="0.3">
      <c r="F355" s="12"/>
      <c r="H355" s="12"/>
      <c r="N355" s="31"/>
      <c r="O355" s="31"/>
      <c r="P355" s="30"/>
      <c r="Q355" s="30"/>
      <c r="R355" s="30"/>
    </row>
    <row r="356" spans="6:18" s="1" customFormat="1" x14ac:dyDescent="0.3">
      <c r="F356" s="12"/>
      <c r="H356" s="12"/>
      <c r="N356" s="31"/>
      <c r="O356" s="31"/>
      <c r="P356" s="30"/>
      <c r="Q356" s="30"/>
      <c r="R356" s="30"/>
    </row>
    <row r="357" spans="6:18" s="1" customFormat="1" x14ac:dyDescent="0.3">
      <c r="F357" s="12"/>
      <c r="H357" s="12"/>
      <c r="N357" s="31"/>
      <c r="O357" s="31"/>
      <c r="P357" s="30"/>
      <c r="Q357" s="30"/>
      <c r="R357" s="30"/>
    </row>
    <row r="358" spans="6:18" s="1" customFormat="1" x14ac:dyDescent="0.3">
      <c r="F358" s="12"/>
      <c r="H358" s="12"/>
      <c r="N358" s="31"/>
      <c r="O358" s="31"/>
      <c r="P358" s="30"/>
      <c r="Q358" s="30"/>
      <c r="R358" s="30"/>
    </row>
    <row r="359" spans="6:18" s="1" customFormat="1" x14ac:dyDescent="0.3">
      <c r="F359" s="12"/>
      <c r="H359" s="12"/>
      <c r="N359" s="31"/>
      <c r="O359" s="31"/>
      <c r="P359" s="30"/>
      <c r="Q359" s="30"/>
      <c r="R359" s="30"/>
    </row>
    <row r="360" spans="6:18" s="1" customFormat="1" x14ac:dyDescent="0.3">
      <c r="F360" s="12"/>
      <c r="H360" s="12"/>
      <c r="N360" s="31"/>
      <c r="O360" s="31"/>
      <c r="P360" s="30"/>
      <c r="Q360" s="30"/>
      <c r="R360" s="30"/>
    </row>
    <row r="361" spans="6:18" s="1" customFormat="1" x14ac:dyDescent="0.3">
      <c r="F361" s="12"/>
      <c r="H361" s="12"/>
      <c r="N361" s="31"/>
      <c r="O361" s="31"/>
      <c r="P361" s="30"/>
      <c r="Q361" s="30"/>
      <c r="R361" s="30"/>
    </row>
    <row r="362" spans="6:18" s="1" customFormat="1" x14ac:dyDescent="0.3">
      <c r="F362" s="12"/>
      <c r="H362" s="12"/>
      <c r="N362" s="31"/>
      <c r="O362" s="31"/>
      <c r="P362" s="30"/>
      <c r="Q362" s="30"/>
      <c r="R362" s="30"/>
    </row>
    <row r="363" spans="6:18" s="1" customFormat="1" x14ac:dyDescent="0.3">
      <c r="F363" s="12"/>
      <c r="H363" s="12"/>
      <c r="N363" s="31"/>
      <c r="O363" s="31"/>
      <c r="P363" s="30"/>
      <c r="Q363" s="30"/>
      <c r="R363" s="30"/>
    </row>
    <row r="364" spans="6:18" s="1" customFormat="1" x14ac:dyDescent="0.3">
      <c r="F364" s="12"/>
      <c r="H364" s="12"/>
      <c r="N364" s="31"/>
      <c r="O364" s="31"/>
      <c r="P364" s="30"/>
      <c r="Q364" s="30"/>
      <c r="R364" s="30"/>
    </row>
    <row r="365" spans="6:18" s="1" customFormat="1" x14ac:dyDescent="0.3">
      <c r="F365" s="12"/>
      <c r="H365" s="12"/>
      <c r="N365" s="31"/>
      <c r="O365" s="31"/>
      <c r="P365" s="30"/>
      <c r="Q365" s="30"/>
      <c r="R365" s="30"/>
    </row>
    <row r="366" spans="6:18" s="1" customFormat="1" x14ac:dyDescent="0.3">
      <c r="F366" s="12"/>
      <c r="H366" s="12"/>
      <c r="N366" s="31"/>
      <c r="O366" s="31"/>
      <c r="P366" s="30"/>
      <c r="Q366" s="30"/>
      <c r="R366" s="30"/>
    </row>
    <row r="367" spans="6:18" s="1" customFormat="1" x14ac:dyDescent="0.3">
      <c r="F367" s="12"/>
      <c r="H367" s="12"/>
      <c r="N367" s="31"/>
      <c r="O367" s="31"/>
      <c r="P367" s="30"/>
      <c r="Q367" s="30"/>
      <c r="R367" s="30"/>
    </row>
    <row r="368" spans="6:18" s="1" customFormat="1" x14ac:dyDescent="0.3">
      <c r="F368" s="12"/>
      <c r="H368" s="12"/>
      <c r="N368" s="31"/>
      <c r="O368" s="31"/>
      <c r="P368" s="30"/>
      <c r="Q368" s="30"/>
      <c r="R368" s="30"/>
    </row>
    <row r="369" spans="6:18" s="1" customFormat="1" x14ac:dyDescent="0.3">
      <c r="F369" s="12"/>
      <c r="H369" s="12"/>
      <c r="N369" s="31"/>
      <c r="O369" s="31"/>
      <c r="P369" s="30"/>
      <c r="Q369" s="30"/>
      <c r="R369" s="30"/>
    </row>
    <row r="370" spans="6:18" s="1" customFormat="1" x14ac:dyDescent="0.3">
      <c r="F370" s="12"/>
      <c r="H370" s="12"/>
      <c r="N370" s="31"/>
      <c r="O370" s="31"/>
      <c r="P370" s="30"/>
      <c r="Q370" s="30"/>
      <c r="R370" s="30"/>
    </row>
    <row r="371" spans="6:18" s="1" customFormat="1" x14ac:dyDescent="0.3">
      <c r="F371" s="12"/>
      <c r="H371" s="12"/>
      <c r="N371" s="31"/>
      <c r="O371" s="31"/>
      <c r="P371" s="30"/>
      <c r="Q371" s="30"/>
      <c r="R371" s="30"/>
    </row>
    <row r="372" spans="6:18" s="1" customFormat="1" x14ac:dyDescent="0.3">
      <c r="F372" s="12"/>
      <c r="H372" s="12"/>
      <c r="N372" s="31"/>
      <c r="O372" s="31"/>
      <c r="P372" s="30"/>
      <c r="Q372" s="30"/>
      <c r="R372" s="30"/>
    </row>
    <row r="373" spans="6:18" s="1" customFormat="1" x14ac:dyDescent="0.3">
      <c r="F373" s="12"/>
      <c r="H373" s="12"/>
      <c r="N373" s="31"/>
      <c r="O373" s="31"/>
      <c r="P373" s="30"/>
      <c r="Q373" s="30"/>
      <c r="R373" s="30"/>
    </row>
    <row r="374" spans="6:18" s="1" customFormat="1" x14ac:dyDescent="0.3">
      <c r="F374" s="12"/>
      <c r="H374" s="12"/>
      <c r="N374" s="31"/>
      <c r="O374" s="31"/>
      <c r="P374" s="30"/>
      <c r="Q374" s="30"/>
      <c r="R374" s="30"/>
    </row>
    <row r="375" spans="6:18" s="1" customFormat="1" x14ac:dyDescent="0.3">
      <c r="F375" s="12"/>
      <c r="H375" s="12"/>
      <c r="N375" s="31"/>
      <c r="O375" s="31"/>
      <c r="P375" s="30"/>
      <c r="Q375" s="30"/>
      <c r="R375" s="30"/>
    </row>
    <row r="376" spans="6:18" s="1" customFormat="1" x14ac:dyDescent="0.3">
      <c r="F376" s="12"/>
      <c r="H376" s="12"/>
      <c r="N376" s="31"/>
      <c r="O376" s="31"/>
      <c r="P376" s="30"/>
      <c r="Q376" s="30"/>
      <c r="R376" s="30"/>
    </row>
    <row r="377" spans="6:18" s="1" customFormat="1" x14ac:dyDescent="0.3">
      <c r="F377" s="12"/>
      <c r="H377" s="12"/>
      <c r="N377" s="31"/>
      <c r="O377" s="31"/>
      <c r="P377" s="30"/>
      <c r="Q377" s="30"/>
      <c r="R377" s="30"/>
    </row>
    <row r="378" spans="6:18" s="1" customFormat="1" x14ac:dyDescent="0.3">
      <c r="F378" s="12"/>
      <c r="H378" s="12"/>
      <c r="N378" s="31"/>
      <c r="O378" s="31"/>
      <c r="P378" s="30"/>
      <c r="Q378" s="30"/>
      <c r="R378" s="30"/>
    </row>
    <row r="379" spans="6:18" s="1" customFormat="1" x14ac:dyDescent="0.3">
      <c r="F379" s="12"/>
      <c r="H379" s="12"/>
      <c r="N379" s="31"/>
      <c r="O379" s="31"/>
      <c r="P379" s="30"/>
      <c r="Q379" s="30"/>
      <c r="R379" s="30"/>
    </row>
    <row r="380" spans="6:18" s="1" customFormat="1" x14ac:dyDescent="0.3">
      <c r="F380" s="12"/>
      <c r="H380" s="12"/>
      <c r="N380" s="31"/>
      <c r="O380" s="31"/>
      <c r="P380" s="30"/>
      <c r="Q380" s="30"/>
      <c r="R380" s="30"/>
    </row>
    <row r="381" spans="6:18" s="1" customFormat="1" x14ac:dyDescent="0.3">
      <c r="F381" s="12"/>
      <c r="H381" s="12"/>
      <c r="N381" s="31"/>
      <c r="O381" s="31"/>
      <c r="P381" s="30"/>
      <c r="Q381" s="30"/>
      <c r="R381" s="30"/>
    </row>
    <row r="382" spans="6:18" s="1" customFormat="1" x14ac:dyDescent="0.3">
      <c r="F382" s="12"/>
      <c r="H382" s="12"/>
      <c r="N382" s="31"/>
      <c r="O382" s="31"/>
      <c r="P382" s="30"/>
      <c r="Q382" s="30"/>
      <c r="R382" s="30"/>
    </row>
    <row r="383" spans="6:18" s="1" customFormat="1" x14ac:dyDescent="0.3">
      <c r="F383" s="12"/>
      <c r="H383" s="12"/>
      <c r="N383" s="31"/>
      <c r="O383" s="31"/>
      <c r="P383" s="30"/>
      <c r="Q383" s="30"/>
      <c r="R383" s="30"/>
    </row>
    <row r="384" spans="6:18" s="1" customFormat="1" x14ac:dyDescent="0.3">
      <c r="F384" s="12"/>
      <c r="H384" s="12"/>
      <c r="N384" s="31"/>
      <c r="O384" s="31"/>
      <c r="P384" s="30"/>
      <c r="Q384" s="30"/>
      <c r="R384" s="30"/>
    </row>
    <row r="385" spans="6:18" s="1" customFormat="1" x14ac:dyDescent="0.3">
      <c r="F385" s="12"/>
      <c r="H385" s="12"/>
      <c r="N385" s="31"/>
      <c r="O385" s="31"/>
      <c r="P385" s="30"/>
      <c r="Q385" s="30"/>
      <c r="R385" s="30"/>
    </row>
    <row r="386" spans="6:18" s="1" customFormat="1" x14ac:dyDescent="0.3">
      <c r="F386" s="12"/>
      <c r="H386" s="12"/>
      <c r="N386" s="31"/>
      <c r="O386" s="31"/>
      <c r="P386" s="30"/>
      <c r="Q386" s="30"/>
      <c r="R386" s="30"/>
    </row>
    <row r="387" spans="6:18" s="1" customFormat="1" x14ac:dyDescent="0.3">
      <c r="F387" s="12"/>
      <c r="H387" s="12"/>
      <c r="N387" s="31"/>
      <c r="O387" s="31"/>
      <c r="P387" s="30"/>
      <c r="Q387" s="30"/>
      <c r="R387" s="30"/>
    </row>
    <row r="388" spans="6:18" s="1" customFormat="1" x14ac:dyDescent="0.3">
      <c r="F388" s="12"/>
      <c r="H388" s="12"/>
      <c r="N388" s="31"/>
      <c r="O388" s="31"/>
      <c r="P388" s="30"/>
      <c r="Q388" s="30"/>
      <c r="R388" s="30"/>
    </row>
    <row r="389" spans="6:18" s="1" customFormat="1" x14ac:dyDescent="0.3">
      <c r="F389" s="12"/>
      <c r="H389" s="12"/>
      <c r="N389" s="31"/>
      <c r="O389" s="31"/>
      <c r="P389" s="30"/>
      <c r="Q389" s="30"/>
      <c r="R389" s="30"/>
    </row>
    <row r="390" spans="6:18" s="1" customFormat="1" x14ac:dyDescent="0.3">
      <c r="F390" s="12"/>
      <c r="H390" s="12"/>
      <c r="N390" s="31"/>
      <c r="O390" s="31"/>
      <c r="P390" s="30"/>
      <c r="Q390" s="30"/>
      <c r="R390" s="30"/>
    </row>
    <row r="391" spans="6:18" s="1" customFormat="1" x14ac:dyDescent="0.3">
      <c r="F391" s="12"/>
      <c r="H391" s="12"/>
      <c r="N391" s="31"/>
      <c r="O391" s="31"/>
      <c r="P391" s="30"/>
      <c r="Q391" s="30"/>
      <c r="R391" s="30"/>
    </row>
    <row r="392" spans="6:18" s="1" customFormat="1" x14ac:dyDescent="0.3">
      <c r="F392" s="12"/>
      <c r="H392" s="12"/>
      <c r="N392" s="31"/>
      <c r="O392" s="31"/>
      <c r="P392" s="30"/>
      <c r="Q392" s="30"/>
      <c r="R392" s="30"/>
    </row>
    <row r="393" spans="6:18" s="1" customFormat="1" x14ac:dyDescent="0.3">
      <c r="F393" s="12"/>
      <c r="H393" s="12"/>
      <c r="N393" s="31"/>
      <c r="O393" s="31"/>
      <c r="P393" s="30"/>
      <c r="Q393" s="30"/>
      <c r="R393" s="30"/>
    </row>
    <row r="394" spans="6:18" s="1" customFormat="1" x14ac:dyDescent="0.3">
      <c r="F394" s="12"/>
      <c r="H394" s="12"/>
      <c r="N394" s="31"/>
      <c r="O394" s="31"/>
      <c r="P394" s="30"/>
      <c r="Q394" s="30"/>
      <c r="R394" s="30"/>
    </row>
    <row r="395" spans="6:18" s="1" customFormat="1" x14ac:dyDescent="0.3">
      <c r="F395" s="12"/>
      <c r="H395" s="12"/>
      <c r="N395" s="31"/>
      <c r="O395" s="31"/>
      <c r="P395" s="30"/>
      <c r="Q395" s="30"/>
      <c r="R395" s="30"/>
    </row>
    <row r="396" spans="6:18" s="1" customFormat="1" x14ac:dyDescent="0.3">
      <c r="F396" s="12"/>
      <c r="H396" s="12"/>
      <c r="N396" s="31"/>
      <c r="O396" s="31"/>
      <c r="P396" s="30"/>
      <c r="Q396" s="30"/>
      <c r="R396" s="30"/>
    </row>
    <row r="397" spans="6:18" s="1" customFormat="1" x14ac:dyDescent="0.3">
      <c r="F397" s="12"/>
      <c r="H397" s="12"/>
      <c r="N397" s="31"/>
      <c r="O397" s="31"/>
      <c r="P397" s="30"/>
      <c r="Q397" s="30"/>
      <c r="R397" s="30"/>
    </row>
    <row r="398" spans="6:18" s="1" customFormat="1" x14ac:dyDescent="0.3">
      <c r="F398" s="12"/>
      <c r="H398" s="12"/>
      <c r="N398" s="31"/>
      <c r="O398" s="31"/>
      <c r="P398" s="30"/>
      <c r="Q398" s="30"/>
      <c r="R398" s="30"/>
    </row>
    <row r="399" spans="6:18" s="1" customFormat="1" x14ac:dyDescent="0.3">
      <c r="F399" s="12"/>
      <c r="H399" s="12"/>
      <c r="N399" s="31"/>
      <c r="O399" s="31"/>
      <c r="P399" s="30"/>
      <c r="Q399" s="30"/>
      <c r="R399" s="30"/>
    </row>
    <row r="400" spans="6:18" s="1" customFormat="1" x14ac:dyDescent="0.3">
      <c r="F400" s="12"/>
      <c r="H400" s="12"/>
      <c r="N400" s="31"/>
      <c r="O400" s="31"/>
      <c r="P400" s="30"/>
      <c r="Q400" s="30"/>
      <c r="R400" s="30"/>
    </row>
    <row r="401" spans="6:18" s="1" customFormat="1" x14ac:dyDescent="0.3">
      <c r="F401" s="12"/>
      <c r="H401" s="12"/>
      <c r="N401" s="31"/>
      <c r="O401" s="31"/>
      <c r="P401" s="30"/>
      <c r="Q401" s="30"/>
      <c r="R401" s="30"/>
    </row>
    <row r="402" spans="6:18" s="1" customFormat="1" x14ac:dyDescent="0.3">
      <c r="F402" s="12"/>
      <c r="H402" s="12"/>
      <c r="N402" s="31"/>
      <c r="O402" s="31"/>
      <c r="P402" s="30"/>
      <c r="Q402" s="30"/>
      <c r="R402" s="30"/>
    </row>
    <row r="403" spans="6:18" s="1" customFormat="1" x14ac:dyDescent="0.3">
      <c r="F403" s="12"/>
      <c r="H403" s="12"/>
      <c r="N403" s="31"/>
      <c r="O403" s="31"/>
      <c r="P403" s="30"/>
      <c r="Q403" s="30"/>
      <c r="R403" s="30"/>
    </row>
    <row r="404" spans="6:18" s="1" customFormat="1" x14ac:dyDescent="0.3">
      <c r="F404" s="12"/>
      <c r="H404" s="12"/>
      <c r="N404" s="31"/>
      <c r="O404" s="31"/>
      <c r="P404" s="30"/>
      <c r="Q404" s="30"/>
      <c r="R404" s="30"/>
    </row>
    <row r="405" spans="6:18" s="1" customFormat="1" x14ac:dyDescent="0.3">
      <c r="F405" s="12"/>
      <c r="H405" s="12"/>
      <c r="N405" s="31"/>
      <c r="O405" s="31"/>
      <c r="P405" s="30"/>
      <c r="Q405" s="30"/>
      <c r="R405" s="30"/>
    </row>
    <row r="406" spans="6:18" s="1" customFormat="1" x14ac:dyDescent="0.3">
      <c r="F406" s="12"/>
      <c r="H406" s="12"/>
      <c r="N406" s="31"/>
      <c r="O406" s="31"/>
      <c r="P406" s="30"/>
      <c r="Q406" s="30"/>
      <c r="R406" s="30"/>
    </row>
    <row r="407" spans="6:18" s="1" customFormat="1" x14ac:dyDescent="0.3">
      <c r="F407" s="12"/>
      <c r="H407" s="12"/>
      <c r="N407" s="31"/>
      <c r="O407" s="31"/>
      <c r="P407" s="30"/>
      <c r="Q407" s="30"/>
      <c r="R407" s="30"/>
    </row>
    <row r="408" spans="6:18" s="1" customFormat="1" x14ac:dyDescent="0.3">
      <c r="F408" s="12"/>
      <c r="H408" s="12"/>
      <c r="N408" s="31"/>
      <c r="O408" s="31"/>
      <c r="P408" s="30"/>
      <c r="Q408" s="30"/>
      <c r="R408" s="30"/>
    </row>
    <row r="409" spans="6:18" s="1" customFormat="1" x14ac:dyDescent="0.3">
      <c r="F409" s="12"/>
      <c r="H409" s="12"/>
      <c r="N409" s="31"/>
      <c r="O409" s="31"/>
      <c r="P409" s="30"/>
      <c r="Q409" s="30"/>
      <c r="R409" s="30"/>
    </row>
    <row r="410" spans="6:18" s="1" customFormat="1" x14ac:dyDescent="0.3">
      <c r="F410" s="12"/>
      <c r="H410" s="12"/>
      <c r="N410" s="31"/>
      <c r="O410" s="31"/>
      <c r="P410" s="30"/>
      <c r="Q410" s="30"/>
      <c r="R410" s="30"/>
    </row>
    <row r="411" spans="6:18" s="1" customFormat="1" x14ac:dyDescent="0.3">
      <c r="F411" s="12"/>
      <c r="H411" s="12"/>
      <c r="N411" s="31"/>
      <c r="O411" s="31"/>
      <c r="P411" s="30"/>
      <c r="Q411" s="30"/>
      <c r="R411" s="30"/>
    </row>
    <row r="412" spans="6:18" s="1" customFormat="1" x14ac:dyDescent="0.3">
      <c r="F412" s="12"/>
      <c r="H412" s="12"/>
      <c r="N412" s="31"/>
      <c r="O412" s="31"/>
      <c r="P412" s="30"/>
      <c r="Q412" s="30"/>
      <c r="R412" s="30"/>
    </row>
    <row r="413" spans="6:18" s="1" customFormat="1" x14ac:dyDescent="0.3">
      <c r="F413" s="12"/>
      <c r="H413" s="12"/>
      <c r="N413" s="31"/>
      <c r="O413" s="31"/>
      <c r="P413" s="30"/>
      <c r="Q413" s="30"/>
      <c r="R413" s="30"/>
    </row>
    <row r="414" spans="6:18" s="1" customFormat="1" x14ac:dyDescent="0.3">
      <c r="F414" s="12"/>
      <c r="H414" s="12"/>
      <c r="N414" s="31"/>
      <c r="O414" s="31"/>
      <c r="P414" s="30"/>
      <c r="Q414" s="30"/>
      <c r="R414" s="30"/>
    </row>
    <row r="415" spans="6:18" s="1" customFormat="1" x14ac:dyDescent="0.3">
      <c r="F415" s="12"/>
      <c r="H415" s="12"/>
      <c r="N415" s="31"/>
      <c r="O415" s="31"/>
      <c r="P415" s="30"/>
      <c r="Q415" s="30"/>
      <c r="R415" s="30"/>
    </row>
    <row r="416" spans="6:18" s="1" customFormat="1" x14ac:dyDescent="0.3">
      <c r="F416" s="12"/>
      <c r="H416" s="12"/>
      <c r="N416" s="31"/>
      <c r="O416" s="31"/>
      <c r="P416" s="30"/>
      <c r="Q416" s="30"/>
      <c r="R416" s="30"/>
    </row>
    <row r="417" spans="6:18" s="1" customFormat="1" x14ac:dyDescent="0.3">
      <c r="F417" s="12"/>
      <c r="H417" s="12"/>
      <c r="N417" s="31"/>
      <c r="O417" s="31"/>
      <c r="P417" s="30"/>
      <c r="Q417" s="30"/>
      <c r="R417" s="30"/>
    </row>
    <row r="418" spans="6:18" s="1" customFormat="1" x14ac:dyDescent="0.3">
      <c r="F418" s="12"/>
      <c r="H418" s="12"/>
      <c r="N418" s="31"/>
      <c r="O418" s="31"/>
      <c r="P418" s="30"/>
      <c r="Q418" s="30"/>
      <c r="R418" s="30"/>
    </row>
    <row r="419" spans="6:18" s="1" customFormat="1" x14ac:dyDescent="0.3">
      <c r="F419" s="12"/>
      <c r="H419" s="12"/>
      <c r="N419" s="31"/>
      <c r="O419" s="31"/>
      <c r="P419" s="30"/>
      <c r="Q419" s="30"/>
      <c r="R419" s="30"/>
    </row>
    <row r="420" spans="6:18" s="1" customFormat="1" x14ac:dyDescent="0.3">
      <c r="F420" s="12"/>
      <c r="H420" s="12"/>
      <c r="N420" s="31"/>
      <c r="O420" s="31"/>
      <c r="P420" s="30"/>
      <c r="Q420" s="30"/>
      <c r="R420" s="30"/>
    </row>
    <row r="421" spans="6:18" s="1" customFormat="1" x14ac:dyDescent="0.3">
      <c r="F421" s="12"/>
      <c r="H421" s="12"/>
      <c r="N421" s="31"/>
      <c r="O421" s="31"/>
      <c r="P421" s="30"/>
      <c r="Q421" s="30"/>
      <c r="R421" s="30"/>
    </row>
    <row r="422" spans="6:18" s="1" customFormat="1" x14ac:dyDescent="0.3">
      <c r="F422" s="12"/>
      <c r="H422" s="12"/>
      <c r="N422" s="31"/>
      <c r="O422" s="31"/>
      <c r="P422" s="30"/>
      <c r="Q422" s="30"/>
      <c r="R422" s="30"/>
    </row>
    <row r="423" spans="6:18" s="1" customFormat="1" x14ac:dyDescent="0.3">
      <c r="F423" s="12"/>
      <c r="H423" s="12"/>
      <c r="N423" s="31"/>
      <c r="O423" s="31"/>
      <c r="P423" s="30"/>
      <c r="Q423" s="30"/>
      <c r="R423" s="30"/>
    </row>
    <row r="424" spans="6:18" s="1" customFormat="1" x14ac:dyDescent="0.3">
      <c r="F424" s="12"/>
      <c r="H424" s="12"/>
      <c r="N424" s="31"/>
      <c r="O424" s="31"/>
      <c r="P424" s="30"/>
      <c r="Q424" s="30"/>
      <c r="R424" s="30"/>
    </row>
    <row r="425" spans="6:18" s="1" customFormat="1" x14ac:dyDescent="0.3">
      <c r="F425" s="12"/>
      <c r="H425" s="12"/>
      <c r="N425" s="31"/>
      <c r="O425" s="31"/>
      <c r="P425" s="30"/>
      <c r="Q425" s="30"/>
      <c r="R425" s="30"/>
    </row>
    <row r="426" spans="6:18" s="1" customFormat="1" x14ac:dyDescent="0.3">
      <c r="F426" s="12"/>
      <c r="H426" s="12"/>
      <c r="N426" s="31"/>
      <c r="O426" s="31"/>
      <c r="P426" s="30"/>
      <c r="Q426" s="30"/>
      <c r="R426" s="30"/>
    </row>
    <row r="427" spans="6:18" s="1" customFormat="1" x14ac:dyDescent="0.3">
      <c r="F427" s="12"/>
      <c r="H427" s="12"/>
      <c r="N427" s="31"/>
      <c r="O427" s="31"/>
      <c r="P427" s="30"/>
      <c r="Q427" s="30"/>
      <c r="R427" s="30"/>
    </row>
    <row r="428" spans="6:18" s="1" customFormat="1" x14ac:dyDescent="0.3">
      <c r="F428" s="12"/>
      <c r="H428" s="12"/>
      <c r="N428" s="31"/>
      <c r="O428" s="31"/>
      <c r="P428" s="30"/>
      <c r="Q428" s="30"/>
      <c r="R428" s="30"/>
    </row>
    <row r="429" spans="6:18" s="1" customFormat="1" x14ac:dyDescent="0.3">
      <c r="F429" s="12"/>
      <c r="H429" s="12"/>
      <c r="N429" s="31"/>
      <c r="O429" s="31"/>
      <c r="P429" s="30"/>
      <c r="Q429" s="30"/>
      <c r="R429" s="30"/>
    </row>
    <row r="430" spans="6:18" s="1" customFormat="1" x14ac:dyDescent="0.3">
      <c r="F430" s="12"/>
      <c r="H430" s="12"/>
      <c r="N430" s="31"/>
      <c r="O430" s="31"/>
      <c r="P430" s="30"/>
      <c r="Q430" s="30"/>
      <c r="R430" s="30"/>
    </row>
    <row r="431" spans="6:18" s="1" customFormat="1" x14ac:dyDescent="0.3">
      <c r="F431" s="12"/>
      <c r="H431" s="12"/>
      <c r="N431" s="31"/>
      <c r="O431" s="31"/>
      <c r="P431" s="30"/>
      <c r="Q431" s="30"/>
      <c r="R431" s="30"/>
    </row>
    <row r="432" spans="6:18" s="1" customFormat="1" x14ac:dyDescent="0.3">
      <c r="F432" s="12"/>
      <c r="H432" s="12"/>
      <c r="N432" s="31"/>
      <c r="O432" s="31"/>
      <c r="P432" s="30"/>
      <c r="Q432" s="30"/>
      <c r="R432" s="30"/>
    </row>
    <row r="433" spans="6:18" s="1" customFormat="1" x14ac:dyDescent="0.3">
      <c r="F433" s="12"/>
      <c r="H433" s="12"/>
      <c r="N433" s="31"/>
      <c r="O433" s="31"/>
      <c r="P433" s="30"/>
      <c r="Q433" s="30"/>
      <c r="R433" s="30"/>
    </row>
    <row r="434" spans="6:18" s="1" customFormat="1" x14ac:dyDescent="0.3">
      <c r="F434" s="12"/>
      <c r="H434" s="12"/>
      <c r="N434" s="31"/>
      <c r="O434" s="31"/>
      <c r="P434" s="30"/>
      <c r="Q434" s="30"/>
      <c r="R434" s="30"/>
    </row>
    <row r="435" spans="6:18" s="1" customFormat="1" x14ac:dyDescent="0.3">
      <c r="F435" s="12"/>
      <c r="H435" s="12"/>
      <c r="N435" s="31"/>
      <c r="O435" s="31"/>
      <c r="P435" s="30"/>
      <c r="Q435" s="30"/>
      <c r="R435" s="30"/>
    </row>
    <row r="436" spans="6:18" s="1" customFormat="1" x14ac:dyDescent="0.3">
      <c r="F436" s="12"/>
      <c r="H436" s="12"/>
      <c r="N436" s="31"/>
      <c r="O436" s="31"/>
      <c r="P436" s="30"/>
      <c r="Q436" s="30"/>
      <c r="R436" s="30"/>
    </row>
    <row r="437" spans="6:18" s="1" customFormat="1" x14ac:dyDescent="0.3">
      <c r="F437" s="12"/>
      <c r="H437" s="12"/>
      <c r="N437" s="31"/>
      <c r="O437" s="31"/>
      <c r="P437" s="30"/>
      <c r="Q437" s="30"/>
      <c r="R437" s="30"/>
    </row>
    <row r="438" spans="6:18" s="1" customFormat="1" x14ac:dyDescent="0.3">
      <c r="F438" s="12"/>
      <c r="H438" s="12"/>
      <c r="N438" s="31"/>
      <c r="O438" s="31"/>
      <c r="P438" s="30"/>
      <c r="Q438" s="30"/>
      <c r="R438" s="30"/>
    </row>
    <row r="439" spans="6:18" s="1" customFormat="1" x14ac:dyDescent="0.3">
      <c r="F439" s="12"/>
      <c r="H439" s="12"/>
      <c r="N439" s="31"/>
      <c r="O439" s="31"/>
      <c r="P439" s="30"/>
      <c r="Q439" s="30"/>
      <c r="R439" s="30"/>
    </row>
    <row r="440" spans="6:18" s="1" customFormat="1" x14ac:dyDescent="0.3">
      <c r="F440" s="12"/>
      <c r="H440" s="12"/>
      <c r="N440" s="31"/>
      <c r="O440" s="31"/>
      <c r="P440" s="30"/>
      <c r="Q440" s="30"/>
      <c r="R440" s="30"/>
    </row>
    <row r="441" spans="6:18" s="1" customFormat="1" x14ac:dyDescent="0.3">
      <c r="F441" s="12"/>
      <c r="H441" s="12"/>
      <c r="N441" s="31"/>
      <c r="O441" s="31"/>
      <c r="P441" s="30"/>
      <c r="Q441" s="30"/>
      <c r="R441" s="30"/>
    </row>
    <row r="442" spans="6:18" s="1" customFormat="1" x14ac:dyDescent="0.3">
      <c r="F442" s="12"/>
      <c r="H442" s="12"/>
      <c r="N442" s="31"/>
      <c r="O442" s="31"/>
      <c r="P442" s="30"/>
      <c r="Q442" s="30"/>
      <c r="R442" s="30"/>
    </row>
    <row r="443" spans="6:18" s="1" customFormat="1" x14ac:dyDescent="0.3">
      <c r="F443" s="12"/>
      <c r="H443" s="12"/>
      <c r="N443" s="31"/>
      <c r="O443" s="31"/>
      <c r="P443" s="30"/>
      <c r="Q443" s="30"/>
      <c r="R443" s="30"/>
    </row>
    <row r="444" spans="6:18" s="1" customFormat="1" x14ac:dyDescent="0.3">
      <c r="F444" s="12"/>
      <c r="H444" s="12"/>
      <c r="N444" s="31"/>
      <c r="O444" s="31"/>
      <c r="P444" s="30"/>
      <c r="Q444" s="30"/>
      <c r="R444" s="30"/>
    </row>
    <row r="445" spans="6:18" s="1" customFormat="1" x14ac:dyDescent="0.3">
      <c r="F445" s="12"/>
      <c r="H445" s="12"/>
      <c r="N445" s="31"/>
      <c r="O445" s="31"/>
      <c r="P445" s="30"/>
      <c r="Q445" s="30"/>
      <c r="R445" s="30"/>
    </row>
    <row r="446" spans="6:18" s="1" customFormat="1" x14ac:dyDescent="0.3">
      <c r="F446" s="12"/>
      <c r="H446" s="12"/>
      <c r="N446" s="31"/>
      <c r="O446" s="31"/>
      <c r="P446" s="30"/>
      <c r="Q446" s="30"/>
      <c r="R446" s="30"/>
    </row>
    <row r="447" spans="6:18" s="1" customFormat="1" x14ac:dyDescent="0.3">
      <c r="F447" s="12"/>
      <c r="H447" s="12"/>
      <c r="N447" s="31"/>
      <c r="O447" s="31"/>
      <c r="P447" s="30"/>
      <c r="Q447" s="30"/>
      <c r="R447" s="30"/>
    </row>
    <row r="448" spans="6:18" s="1" customFormat="1" x14ac:dyDescent="0.3">
      <c r="F448" s="12"/>
      <c r="H448" s="12"/>
      <c r="N448" s="31"/>
      <c r="O448" s="31"/>
      <c r="P448" s="30"/>
      <c r="Q448" s="30"/>
      <c r="R448" s="30"/>
    </row>
    <row r="449" spans="6:18" s="1" customFormat="1" x14ac:dyDescent="0.3">
      <c r="F449" s="12"/>
      <c r="H449" s="12"/>
      <c r="N449" s="31"/>
      <c r="O449" s="31"/>
      <c r="P449" s="30"/>
      <c r="Q449" s="30"/>
      <c r="R449" s="30"/>
    </row>
    <row r="450" spans="6:18" s="1" customFormat="1" x14ac:dyDescent="0.3">
      <c r="F450" s="12"/>
      <c r="H450" s="12"/>
      <c r="N450" s="31"/>
      <c r="O450" s="31"/>
      <c r="P450" s="30"/>
      <c r="Q450" s="30"/>
      <c r="R450" s="30"/>
    </row>
    <row r="451" spans="6:18" s="1" customFormat="1" x14ac:dyDescent="0.3">
      <c r="F451" s="12"/>
      <c r="H451" s="12"/>
      <c r="N451" s="31"/>
      <c r="O451" s="31"/>
      <c r="P451" s="30"/>
      <c r="Q451" s="30"/>
      <c r="R451" s="30"/>
    </row>
    <row r="452" spans="6:18" s="1" customFormat="1" x14ac:dyDescent="0.3">
      <c r="F452" s="12"/>
      <c r="H452" s="12"/>
      <c r="N452" s="31"/>
      <c r="O452" s="31"/>
      <c r="P452" s="30"/>
      <c r="Q452" s="30"/>
      <c r="R452" s="30"/>
    </row>
    <row r="453" spans="6:18" s="1" customFormat="1" x14ac:dyDescent="0.3">
      <c r="F453" s="12"/>
      <c r="H453" s="12"/>
      <c r="N453" s="31"/>
      <c r="O453" s="31"/>
      <c r="P453" s="30"/>
      <c r="Q453" s="30"/>
      <c r="R453" s="30"/>
    </row>
    <row r="454" spans="6:18" s="1" customFormat="1" x14ac:dyDescent="0.3">
      <c r="F454" s="12"/>
      <c r="H454" s="12"/>
      <c r="N454" s="31"/>
      <c r="O454" s="31"/>
      <c r="P454" s="30"/>
      <c r="Q454" s="30"/>
      <c r="R454" s="30"/>
    </row>
    <row r="455" spans="6:18" s="1" customFormat="1" x14ac:dyDescent="0.3">
      <c r="F455" s="12"/>
      <c r="H455" s="12"/>
      <c r="N455" s="31"/>
      <c r="O455" s="31"/>
      <c r="P455" s="30"/>
      <c r="Q455" s="30"/>
      <c r="R455" s="30"/>
    </row>
    <row r="456" spans="6:18" s="1" customFormat="1" x14ac:dyDescent="0.3">
      <c r="F456" s="12"/>
      <c r="H456" s="12"/>
      <c r="N456" s="31"/>
      <c r="O456" s="31"/>
      <c r="P456" s="30"/>
      <c r="Q456" s="30"/>
      <c r="R456" s="30"/>
    </row>
    <row r="457" spans="6:18" s="1" customFormat="1" x14ac:dyDescent="0.3">
      <c r="F457" s="12"/>
      <c r="H457" s="12"/>
      <c r="N457" s="31"/>
      <c r="O457" s="31"/>
      <c r="P457" s="30"/>
      <c r="Q457" s="30"/>
      <c r="R457" s="30"/>
    </row>
    <row r="458" spans="6:18" s="1" customFormat="1" x14ac:dyDescent="0.3">
      <c r="F458" s="12"/>
      <c r="H458" s="12"/>
      <c r="N458" s="31"/>
      <c r="O458" s="31"/>
      <c r="P458" s="30"/>
      <c r="Q458" s="30"/>
      <c r="R458" s="30"/>
    </row>
    <row r="459" spans="6:18" s="1" customFormat="1" x14ac:dyDescent="0.3">
      <c r="F459" s="12"/>
      <c r="H459" s="12"/>
      <c r="N459" s="31"/>
      <c r="O459" s="31"/>
      <c r="P459" s="30"/>
      <c r="Q459" s="30"/>
      <c r="R459" s="30"/>
    </row>
    <row r="460" spans="6:18" s="1" customFormat="1" x14ac:dyDescent="0.3">
      <c r="F460" s="12"/>
      <c r="H460" s="12"/>
      <c r="N460" s="31"/>
      <c r="O460" s="31"/>
      <c r="P460" s="30"/>
      <c r="Q460" s="30"/>
      <c r="R460" s="30"/>
    </row>
    <row r="461" spans="6:18" s="1" customFormat="1" x14ac:dyDescent="0.3">
      <c r="F461" s="12"/>
      <c r="H461" s="12"/>
      <c r="N461" s="31"/>
      <c r="O461" s="31"/>
      <c r="P461" s="30"/>
      <c r="Q461" s="30"/>
      <c r="R461" s="30"/>
    </row>
    <row r="462" spans="6:18" s="1" customFormat="1" x14ac:dyDescent="0.3">
      <c r="F462" s="12"/>
      <c r="H462" s="12"/>
      <c r="N462" s="31"/>
      <c r="O462" s="31"/>
      <c r="P462" s="30"/>
      <c r="Q462" s="30"/>
      <c r="R462" s="30"/>
    </row>
    <row r="463" spans="6:18" s="1" customFormat="1" x14ac:dyDescent="0.3">
      <c r="F463" s="12"/>
      <c r="H463" s="12"/>
      <c r="N463" s="31"/>
      <c r="O463" s="31"/>
      <c r="P463" s="30"/>
      <c r="Q463" s="30"/>
      <c r="R463" s="30"/>
    </row>
    <row r="464" spans="6:18" s="1" customFormat="1" x14ac:dyDescent="0.3">
      <c r="F464" s="12"/>
      <c r="H464" s="12"/>
      <c r="N464" s="31"/>
      <c r="O464" s="31"/>
      <c r="P464" s="30"/>
      <c r="Q464" s="30"/>
      <c r="R464" s="30"/>
    </row>
    <row r="465" spans="6:18" s="1" customFormat="1" x14ac:dyDescent="0.3">
      <c r="F465" s="12"/>
      <c r="H465" s="12"/>
      <c r="N465" s="31"/>
      <c r="O465" s="31"/>
      <c r="P465" s="30"/>
      <c r="Q465" s="30"/>
      <c r="R465" s="30"/>
    </row>
    <row r="466" spans="6:18" s="1" customFormat="1" x14ac:dyDescent="0.3">
      <c r="F466" s="12"/>
      <c r="H466" s="12"/>
      <c r="N466" s="31"/>
      <c r="O466" s="31"/>
      <c r="P466" s="30"/>
      <c r="Q466" s="30"/>
      <c r="R466" s="30"/>
    </row>
    <row r="467" spans="6:18" s="1" customFormat="1" x14ac:dyDescent="0.3">
      <c r="F467" s="12"/>
      <c r="H467" s="12"/>
      <c r="N467" s="31"/>
      <c r="O467" s="31"/>
      <c r="P467" s="30"/>
      <c r="Q467" s="30"/>
      <c r="R467" s="30"/>
    </row>
    <row r="468" spans="6:18" s="1" customFormat="1" x14ac:dyDescent="0.3">
      <c r="F468" s="12"/>
      <c r="H468" s="12"/>
      <c r="N468" s="31"/>
      <c r="O468" s="31"/>
      <c r="P468" s="30"/>
      <c r="Q468" s="30"/>
      <c r="R468" s="30"/>
    </row>
    <row r="469" spans="6:18" s="1" customFormat="1" x14ac:dyDescent="0.3">
      <c r="F469" s="12"/>
      <c r="H469" s="12"/>
      <c r="N469" s="31"/>
      <c r="O469" s="31"/>
      <c r="P469" s="30"/>
      <c r="Q469" s="30"/>
      <c r="R469" s="30"/>
    </row>
    <row r="470" spans="6:18" s="1" customFormat="1" x14ac:dyDescent="0.3">
      <c r="F470" s="12"/>
      <c r="H470" s="12"/>
      <c r="N470" s="31"/>
      <c r="O470" s="31"/>
      <c r="P470" s="30"/>
      <c r="Q470" s="30"/>
      <c r="R470" s="30"/>
    </row>
    <row r="471" spans="6:18" s="1" customFormat="1" x14ac:dyDescent="0.3">
      <c r="F471" s="12"/>
      <c r="H471" s="12"/>
      <c r="N471" s="31"/>
      <c r="O471" s="31"/>
      <c r="P471" s="30"/>
      <c r="Q471" s="30"/>
      <c r="R471" s="30"/>
    </row>
    <row r="472" spans="6:18" s="1" customFormat="1" x14ac:dyDescent="0.3">
      <c r="F472" s="12"/>
      <c r="H472" s="12"/>
      <c r="N472" s="31"/>
      <c r="O472" s="31"/>
      <c r="P472" s="30"/>
      <c r="Q472" s="30"/>
      <c r="R472" s="30"/>
    </row>
    <row r="473" spans="6:18" s="1" customFormat="1" x14ac:dyDescent="0.3">
      <c r="F473" s="12"/>
      <c r="H473" s="12"/>
      <c r="N473" s="31"/>
      <c r="O473" s="31"/>
      <c r="P473" s="30"/>
      <c r="Q473" s="30"/>
      <c r="R473" s="30"/>
    </row>
    <row r="474" spans="6:18" s="1" customFormat="1" x14ac:dyDescent="0.3">
      <c r="F474" s="12"/>
      <c r="H474" s="12"/>
      <c r="N474" s="31"/>
      <c r="O474" s="31"/>
      <c r="P474" s="30"/>
      <c r="Q474" s="30"/>
      <c r="R474" s="30"/>
    </row>
    <row r="475" spans="6:18" s="1" customFormat="1" x14ac:dyDescent="0.3">
      <c r="F475" s="12"/>
      <c r="H475" s="12"/>
      <c r="N475" s="31"/>
      <c r="O475" s="31"/>
      <c r="P475" s="30"/>
      <c r="Q475" s="30"/>
      <c r="R475" s="30"/>
    </row>
    <row r="476" spans="6:18" s="1" customFormat="1" x14ac:dyDescent="0.3">
      <c r="F476" s="12"/>
      <c r="H476" s="12"/>
      <c r="N476" s="31"/>
      <c r="O476" s="31"/>
      <c r="P476" s="30"/>
      <c r="Q476" s="30"/>
      <c r="R476" s="30"/>
    </row>
    <row r="477" spans="6:18" s="1" customFormat="1" x14ac:dyDescent="0.3">
      <c r="F477" s="12"/>
      <c r="H477" s="12"/>
      <c r="N477" s="31"/>
      <c r="O477" s="31"/>
      <c r="P477" s="30"/>
      <c r="Q477" s="30"/>
      <c r="R477" s="30"/>
    </row>
    <row r="478" spans="6:18" s="1" customFormat="1" x14ac:dyDescent="0.3">
      <c r="F478" s="12"/>
      <c r="H478" s="12"/>
      <c r="N478" s="31"/>
      <c r="O478" s="31"/>
      <c r="P478" s="30"/>
      <c r="Q478" s="30"/>
      <c r="R478" s="30"/>
    </row>
    <row r="479" spans="6:18" s="1" customFormat="1" x14ac:dyDescent="0.3">
      <c r="F479" s="12"/>
      <c r="H479" s="12"/>
      <c r="N479" s="31"/>
      <c r="O479" s="31"/>
      <c r="P479" s="30"/>
      <c r="Q479" s="30"/>
      <c r="R479" s="30"/>
    </row>
    <row r="480" spans="6:18" s="1" customFormat="1" x14ac:dyDescent="0.3">
      <c r="F480" s="12"/>
      <c r="H480" s="12"/>
      <c r="N480" s="31"/>
      <c r="O480" s="31"/>
      <c r="P480" s="30"/>
      <c r="Q480" s="30"/>
      <c r="R480" s="30"/>
    </row>
    <row r="481" spans="6:18" s="1" customFormat="1" x14ac:dyDescent="0.3">
      <c r="F481" s="12"/>
      <c r="H481" s="12"/>
      <c r="N481" s="31"/>
      <c r="O481" s="31"/>
      <c r="P481" s="30"/>
      <c r="Q481" s="30"/>
      <c r="R481" s="30"/>
    </row>
    <row r="482" spans="6:18" s="1" customFormat="1" x14ac:dyDescent="0.3">
      <c r="F482" s="12"/>
      <c r="H482" s="12"/>
      <c r="N482" s="31"/>
      <c r="O482" s="31"/>
      <c r="P482" s="30"/>
      <c r="Q482" s="30"/>
      <c r="R482" s="30"/>
    </row>
    <row r="483" spans="6:18" s="1" customFormat="1" x14ac:dyDescent="0.3">
      <c r="F483" s="12"/>
      <c r="H483" s="12"/>
      <c r="N483" s="31"/>
      <c r="O483" s="31"/>
      <c r="P483" s="30"/>
      <c r="Q483" s="30"/>
      <c r="R483" s="30"/>
    </row>
    <row r="484" spans="6:18" s="1" customFormat="1" x14ac:dyDescent="0.3">
      <c r="F484" s="12"/>
      <c r="H484" s="12"/>
      <c r="N484" s="31"/>
      <c r="O484" s="31"/>
      <c r="P484" s="30"/>
      <c r="Q484" s="30"/>
      <c r="R484" s="30"/>
    </row>
    <row r="485" spans="6:18" s="1" customFormat="1" x14ac:dyDescent="0.3">
      <c r="F485" s="12"/>
      <c r="H485" s="12"/>
      <c r="N485" s="31"/>
      <c r="O485" s="31"/>
      <c r="P485" s="30"/>
      <c r="Q485" s="30"/>
      <c r="R485" s="30"/>
    </row>
    <row r="486" spans="6:18" s="1" customFormat="1" x14ac:dyDescent="0.3">
      <c r="F486" s="12"/>
      <c r="H486" s="12"/>
      <c r="N486" s="31"/>
      <c r="O486" s="31"/>
      <c r="P486" s="30"/>
      <c r="Q486" s="30"/>
      <c r="R486" s="30"/>
    </row>
    <row r="487" spans="6:18" s="1" customFormat="1" x14ac:dyDescent="0.3">
      <c r="F487" s="12"/>
      <c r="H487" s="12"/>
      <c r="N487" s="31"/>
      <c r="O487" s="31"/>
      <c r="P487" s="30"/>
      <c r="Q487" s="30"/>
      <c r="R487" s="30"/>
    </row>
    <row r="488" spans="6:18" s="1" customFormat="1" x14ac:dyDescent="0.3">
      <c r="F488" s="12"/>
      <c r="H488" s="12"/>
      <c r="N488" s="31"/>
      <c r="O488" s="31"/>
      <c r="P488" s="30"/>
      <c r="Q488" s="30"/>
      <c r="R488" s="30"/>
    </row>
    <row r="489" spans="6:18" s="1" customFormat="1" x14ac:dyDescent="0.3">
      <c r="F489" s="12"/>
      <c r="H489" s="12"/>
      <c r="N489" s="31"/>
      <c r="O489" s="31"/>
      <c r="P489" s="30"/>
      <c r="Q489" s="30"/>
      <c r="R489" s="30"/>
    </row>
    <row r="490" spans="6:18" s="1" customFormat="1" x14ac:dyDescent="0.3">
      <c r="F490" s="12"/>
      <c r="H490" s="12"/>
      <c r="N490" s="31"/>
      <c r="O490" s="31"/>
      <c r="P490" s="30"/>
      <c r="Q490" s="30"/>
      <c r="R490" s="30"/>
    </row>
    <row r="491" spans="6:18" s="1" customFormat="1" x14ac:dyDescent="0.3">
      <c r="F491" s="12"/>
      <c r="H491" s="12"/>
      <c r="N491" s="31"/>
      <c r="O491" s="31"/>
      <c r="P491" s="30"/>
      <c r="Q491" s="30"/>
      <c r="R491" s="30"/>
    </row>
    <row r="492" spans="6:18" s="1" customFormat="1" x14ac:dyDescent="0.3">
      <c r="F492" s="12"/>
      <c r="H492" s="12"/>
      <c r="N492" s="31"/>
      <c r="O492" s="31"/>
      <c r="P492" s="30"/>
      <c r="Q492" s="30"/>
      <c r="R492" s="30"/>
    </row>
    <row r="493" spans="6:18" s="1" customFormat="1" x14ac:dyDescent="0.3">
      <c r="F493" s="12"/>
      <c r="H493" s="12"/>
      <c r="N493" s="31"/>
      <c r="O493" s="31"/>
      <c r="P493" s="30"/>
      <c r="Q493" s="30"/>
      <c r="R493" s="30"/>
    </row>
    <row r="494" spans="6:18" s="1" customFormat="1" x14ac:dyDescent="0.3">
      <c r="F494" s="12"/>
      <c r="H494" s="12"/>
      <c r="N494" s="31"/>
      <c r="O494" s="31"/>
      <c r="P494" s="30"/>
      <c r="Q494" s="30"/>
      <c r="R494" s="30"/>
    </row>
    <row r="495" spans="6:18" s="1" customFormat="1" x14ac:dyDescent="0.3">
      <c r="F495" s="12"/>
      <c r="H495" s="12"/>
      <c r="N495" s="31"/>
      <c r="O495" s="31"/>
      <c r="P495" s="30"/>
      <c r="Q495" s="30"/>
      <c r="R495" s="30"/>
    </row>
    <row r="496" spans="6:18" s="1" customFormat="1" x14ac:dyDescent="0.3">
      <c r="F496" s="12"/>
      <c r="H496" s="12"/>
      <c r="N496" s="31"/>
      <c r="O496" s="31"/>
      <c r="P496" s="30"/>
      <c r="Q496" s="30"/>
      <c r="R496" s="30"/>
    </row>
    <row r="497" spans="6:18" s="1" customFormat="1" x14ac:dyDescent="0.3">
      <c r="F497" s="12"/>
      <c r="H497" s="12"/>
      <c r="N497" s="31"/>
      <c r="O497" s="31"/>
      <c r="P497" s="30"/>
      <c r="Q497" s="30"/>
      <c r="R497" s="30"/>
    </row>
    <row r="498" spans="6:18" s="1" customFormat="1" x14ac:dyDescent="0.3">
      <c r="F498" s="12"/>
      <c r="H498" s="12"/>
      <c r="N498" s="31"/>
      <c r="O498" s="31"/>
      <c r="P498" s="30"/>
      <c r="Q498" s="30"/>
      <c r="R498" s="30"/>
    </row>
    <row r="499" spans="6:18" s="1" customFormat="1" x14ac:dyDescent="0.3">
      <c r="F499" s="12"/>
      <c r="H499" s="12"/>
      <c r="N499" s="31"/>
      <c r="O499" s="31"/>
      <c r="P499" s="30"/>
      <c r="Q499" s="30"/>
      <c r="R499" s="30"/>
    </row>
    <row r="500" spans="6:18" s="1" customFormat="1" x14ac:dyDescent="0.3">
      <c r="F500" s="12"/>
      <c r="H500" s="12"/>
      <c r="N500" s="31"/>
      <c r="O500" s="31"/>
      <c r="P500" s="30"/>
      <c r="Q500" s="30"/>
      <c r="R500" s="30"/>
    </row>
    <row r="501" spans="6:18" s="1" customFormat="1" x14ac:dyDescent="0.3">
      <c r="F501" s="12"/>
      <c r="H501" s="12"/>
      <c r="N501" s="31"/>
      <c r="O501" s="31"/>
      <c r="P501" s="30"/>
      <c r="Q501" s="30"/>
      <c r="R501" s="30"/>
    </row>
    <row r="502" spans="6:18" s="1" customFormat="1" x14ac:dyDescent="0.3">
      <c r="F502" s="12"/>
      <c r="H502" s="12"/>
      <c r="N502" s="31"/>
      <c r="O502" s="31"/>
      <c r="P502" s="30"/>
      <c r="Q502" s="30"/>
      <c r="R502" s="30"/>
    </row>
    <row r="503" spans="6:18" s="1" customFormat="1" x14ac:dyDescent="0.3">
      <c r="F503" s="12"/>
      <c r="H503" s="12"/>
      <c r="N503" s="31"/>
      <c r="O503" s="31"/>
      <c r="P503" s="30"/>
      <c r="Q503" s="30"/>
      <c r="R503" s="30"/>
    </row>
    <row r="504" spans="6:18" s="1" customFormat="1" x14ac:dyDescent="0.3">
      <c r="F504" s="12"/>
      <c r="H504" s="12"/>
      <c r="N504" s="31"/>
      <c r="O504" s="31"/>
      <c r="P504" s="30"/>
      <c r="Q504" s="30"/>
      <c r="R504" s="30"/>
    </row>
    <row r="505" spans="6:18" s="1" customFormat="1" x14ac:dyDescent="0.3">
      <c r="F505" s="12"/>
      <c r="H505" s="12"/>
      <c r="N505" s="31"/>
      <c r="O505" s="31"/>
      <c r="P505" s="30"/>
      <c r="Q505" s="30"/>
      <c r="R505" s="30"/>
    </row>
    <row r="506" spans="6:18" s="1" customFormat="1" x14ac:dyDescent="0.3">
      <c r="F506" s="12"/>
      <c r="H506" s="12"/>
      <c r="N506" s="31"/>
      <c r="O506" s="31"/>
      <c r="P506" s="30"/>
      <c r="Q506" s="30"/>
      <c r="R506" s="30"/>
    </row>
    <row r="507" spans="6:18" s="1" customFormat="1" x14ac:dyDescent="0.3">
      <c r="F507" s="12"/>
      <c r="H507" s="12"/>
      <c r="N507" s="31"/>
      <c r="O507" s="31"/>
      <c r="P507" s="30"/>
      <c r="Q507" s="30"/>
      <c r="R507" s="30"/>
    </row>
    <row r="508" spans="6:18" s="1" customFormat="1" x14ac:dyDescent="0.3">
      <c r="F508" s="12"/>
      <c r="H508" s="12"/>
      <c r="N508" s="31"/>
      <c r="O508" s="31"/>
      <c r="P508" s="30"/>
      <c r="Q508" s="30"/>
      <c r="R508" s="30"/>
    </row>
    <row r="509" spans="6:18" s="1" customFormat="1" x14ac:dyDescent="0.3">
      <c r="F509" s="12"/>
      <c r="H509" s="12"/>
      <c r="N509" s="31"/>
      <c r="O509" s="31"/>
      <c r="P509" s="30"/>
      <c r="Q509" s="30"/>
      <c r="R509" s="30"/>
    </row>
    <row r="510" spans="6:18" s="1" customFormat="1" x14ac:dyDescent="0.3">
      <c r="F510" s="12"/>
      <c r="H510" s="12"/>
      <c r="N510" s="31"/>
      <c r="O510" s="31"/>
      <c r="P510" s="30"/>
      <c r="Q510" s="30"/>
      <c r="R510" s="30"/>
    </row>
    <row r="511" spans="6:18" s="1" customFormat="1" x14ac:dyDescent="0.3">
      <c r="F511" s="12"/>
      <c r="H511" s="12"/>
      <c r="N511" s="31"/>
      <c r="O511" s="31"/>
      <c r="P511" s="30"/>
      <c r="Q511" s="30"/>
      <c r="R511" s="30"/>
    </row>
    <row r="512" spans="6:18" s="1" customFormat="1" x14ac:dyDescent="0.3">
      <c r="F512" s="12"/>
      <c r="H512" s="12"/>
      <c r="N512" s="31"/>
      <c r="O512" s="31"/>
      <c r="P512" s="30"/>
      <c r="Q512" s="30"/>
      <c r="R512" s="30"/>
    </row>
    <row r="513" spans="6:18" s="1" customFormat="1" x14ac:dyDescent="0.3">
      <c r="F513" s="12"/>
      <c r="H513" s="12"/>
      <c r="N513" s="31"/>
      <c r="O513" s="31"/>
      <c r="P513" s="30"/>
      <c r="Q513" s="30"/>
      <c r="R513" s="30"/>
    </row>
    <row r="514" spans="6:18" s="1" customFormat="1" x14ac:dyDescent="0.3">
      <c r="F514" s="12"/>
      <c r="H514" s="12"/>
      <c r="N514" s="31"/>
      <c r="O514" s="31"/>
      <c r="P514" s="30"/>
      <c r="Q514" s="30"/>
      <c r="R514" s="30"/>
    </row>
    <row r="515" spans="6:18" s="1" customFormat="1" x14ac:dyDescent="0.3">
      <c r="F515" s="12"/>
      <c r="H515" s="12"/>
      <c r="N515" s="31"/>
      <c r="O515" s="31"/>
      <c r="P515" s="30"/>
      <c r="Q515" s="30"/>
      <c r="R515" s="30"/>
    </row>
    <row r="516" spans="6:18" s="1" customFormat="1" x14ac:dyDescent="0.3">
      <c r="F516" s="12"/>
      <c r="H516" s="12"/>
      <c r="N516" s="31"/>
      <c r="O516" s="31"/>
      <c r="P516" s="30"/>
      <c r="Q516" s="30"/>
      <c r="R516" s="30"/>
    </row>
    <row r="517" spans="6:18" s="1" customFormat="1" x14ac:dyDescent="0.3">
      <c r="F517" s="12"/>
      <c r="H517" s="12"/>
      <c r="N517" s="31"/>
      <c r="O517" s="31"/>
      <c r="P517" s="30"/>
      <c r="Q517" s="30"/>
      <c r="R517" s="30"/>
    </row>
    <row r="518" spans="6:18" s="1" customFormat="1" x14ac:dyDescent="0.3">
      <c r="F518" s="12"/>
      <c r="H518" s="12"/>
      <c r="N518" s="31"/>
      <c r="O518" s="31"/>
      <c r="P518" s="30"/>
      <c r="Q518" s="30"/>
      <c r="R518" s="30"/>
    </row>
    <row r="519" spans="6:18" s="1" customFormat="1" x14ac:dyDescent="0.3">
      <c r="F519" s="12"/>
      <c r="H519" s="12"/>
      <c r="N519" s="31"/>
      <c r="O519" s="31"/>
      <c r="P519" s="30"/>
      <c r="Q519" s="30"/>
      <c r="R519" s="30"/>
    </row>
    <row r="520" spans="6:18" s="1" customFormat="1" x14ac:dyDescent="0.3">
      <c r="F520" s="12"/>
      <c r="H520" s="12"/>
      <c r="N520" s="31"/>
      <c r="O520" s="31"/>
      <c r="P520" s="30"/>
      <c r="Q520" s="30"/>
      <c r="R520" s="30"/>
    </row>
    <row r="521" spans="6:18" s="1" customFormat="1" x14ac:dyDescent="0.3">
      <c r="F521" s="12"/>
      <c r="H521" s="12"/>
      <c r="N521" s="31"/>
      <c r="O521" s="31"/>
      <c r="P521" s="30"/>
      <c r="Q521" s="30"/>
      <c r="R521" s="30"/>
    </row>
    <row r="522" spans="6:18" s="1" customFormat="1" x14ac:dyDescent="0.3">
      <c r="F522" s="12"/>
      <c r="H522" s="12"/>
      <c r="N522" s="31"/>
      <c r="O522" s="31"/>
      <c r="P522" s="30"/>
      <c r="Q522" s="30"/>
      <c r="R522" s="30"/>
    </row>
    <row r="523" spans="6:18" s="1" customFormat="1" x14ac:dyDescent="0.3">
      <c r="F523" s="12"/>
      <c r="H523" s="12"/>
      <c r="N523" s="31"/>
      <c r="O523" s="31"/>
      <c r="P523" s="30"/>
      <c r="Q523" s="30"/>
      <c r="R523" s="30"/>
    </row>
    <row r="524" spans="6:18" s="1" customFormat="1" x14ac:dyDescent="0.3">
      <c r="F524" s="12"/>
      <c r="H524" s="12"/>
      <c r="N524" s="31"/>
      <c r="O524" s="31"/>
      <c r="P524" s="30"/>
      <c r="Q524" s="30"/>
      <c r="R524" s="30"/>
    </row>
    <row r="525" spans="6:18" s="1" customFormat="1" x14ac:dyDescent="0.3">
      <c r="F525" s="12"/>
      <c r="H525" s="12"/>
      <c r="N525" s="31"/>
      <c r="O525" s="31"/>
      <c r="P525" s="30"/>
      <c r="Q525" s="30"/>
      <c r="R525" s="30"/>
    </row>
    <row r="526" spans="6:18" s="1" customFormat="1" x14ac:dyDescent="0.3">
      <c r="F526" s="12"/>
      <c r="H526" s="12"/>
      <c r="N526" s="31"/>
      <c r="O526" s="31"/>
      <c r="P526" s="30"/>
      <c r="Q526" s="30"/>
      <c r="R526" s="30"/>
    </row>
    <row r="527" spans="6:18" s="1" customFormat="1" x14ac:dyDescent="0.3">
      <c r="F527" s="12"/>
      <c r="H527" s="12"/>
      <c r="N527" s="31"/>
      <c r="O527" s="31"/>
      <c r="P527" s="30"/>
      <c r="Q527" s="30"/>
      <c r="R527" s="30"/>
    </row>
    <row r="528" spans="6:18" s="1" customFormat="1" x14ac:dyDescent="0.3">
      <c r="F528" s="12"/>
      <c r="H528" s="12"/>
      <c r="N528" s="31"/>
      <c r="O528" s="31"/>
      <c r="P528" s="30"/>
      <c r="Q528" s="30"/>
      <c r="R528" s="30"/>
    </row>
    <row r="529" spans="6:18" s="1" customFormat="1" x14ac:dyDescent="0.3">
      <c r="F529" s="12"/>
      <c r="H529" s="12"/>
      <c r="N529" s="31"/>
      <c r="O529" s="31"/>
      <c r="P529" s="30"/>
      <c r="Q529" s="30"/>
      <c r="R529" s="30"/>
    </row>
    <row r="530" spans="6:18" s="1" customFormat="1" x14ac:dyDescent="0.3">
      <c r="F530" s="12"/>
      <c r="H530" s="12"/>
      <c r="N530" s="31"/>
      <c r="O530" s="31"/>
      <c r="P530" s="30"/>
      <c r="Q530" s="30"/>
      <c r="R530" s="30"/>
    </row>
    <row r="531" spans="6:18" s="1" customFormat="1" x14ac:dyDescent="0.3">
      <c r="F531" s="12"/>
      <c r="H531" s="12"/>
      <c r="N531" s="31"/>
      <c r="O531" s="31"/>
      <c r="P531" s="30"/>
      <c r="Q531" s="30"/>
      <c r="R531" s="30"/>
    </row>
    <row r="532" spans="6:18" s="1" customFormat="1" x14ac:dyDescent="0.3">
      <c r="F532" s="12"/>
      <c r="H532" s="12"/>
      <c r="N532" s="31"/>
      <c r="O532" s="31"/>
      <c r="P532" s="30"/>
      <c r="Q532" s="30"/>
      <c r="R532" s="30"/>
    </row>
    <row r="533" spans="6:18" s="1" customFormat="1" x14ac:dyDescent="0.3">
      <c r="F533" s="12"/>
      <c r="H533" s="12"/>
      <c r="N533" s="31"/>
      <c r="O533" s="31"/>
      <c r="P533" s="30"/>
      <c r="Q533" s="30"/>
      <c r="R533" s="30"/>
    </row>
    <row r="534" spans="6:18" s="1" customFormat="1" x14ac:dyDescent="0.3">
      <c r="F534" s="12"/>
      <c r="H534" s="12"/>
      <c r="N534" s="31"/>
      <c r="O534" s="31"/>
      <c r="P534" s="30"/>
      <c r="Q534" s="30"/>
      <c r="R534" s="30"/>
    </row>
    <row r="535" spans="6:18" s="1" customFormat="1" x14ac:dyDescent="0.3">
      <c r="F535" s="12"/>
      <c r="H535" s="12"/>
      <c r="N535" s="31"/>
      <c r="O535" s="31"/>
      <c r="P535" s="30"/>
      <c r="Q535" s="30"/>
      <c r="R535" s="30"/>
    </row>
    <row r="536" spans="6:18" s="1" customFormat="1" x14ac:dyDescent="0.3">
      <c r="F536" s="12"/>
      <c r="H536" s="12"/>
      <c r="N536" s="31"/>
      <c r="O536" s="31"/>
      <c r="P536" s="30"/>
      <c r="Q536" s="30"/>
      <c r="R536" s="30"/>
    </row>
    <row r="537" spans="6:18" s="1" customFormat="1" x14ac:dyDescent="0.3">
      <c r="F537" s="12"/>
      <c r="H537" s="12"/>
      <c r="N537" s="31"/>
      <c r="O537" s="31"/>
      <c r="P537" s="30"/>
      <c r="Q537" s="30"/>
      <c r="R537" s="30"/>
    </row>
    <row r="538" spans="6:18" s="1" customFormat="1" x14ac:dyDescent="0.3">
      <c r="F538" s="12"/>
      <c r="H538" s="12"/>
      <c r="N538" s="31"/>
      <c r="O538" s="31"/>
      <c r="P538" s="30"/>
      <c r="Q538" s="30"/>
      <c r="R538" s="30"/>
    </row>
    <row r="539" spans="6:18" s="1" customFormat="1" x14ac:dyDescent="0.3">
      <c r="F539" s="12"/>
      <c r="H539" s="12"/>
      <c r="N539" s="31"/>
      <c r="O539" s="31"/>
      <c r="P539" s="30"/>
      <c r="Q539" s="30"/>
      <c r="R539" s="30"/>
    </row>
    <row r="540" spans="6:18" s="1" customFormat="1" x14ac:dyDescent="0.3">
      <c r="F540" s="12"/>
      <c r="H540" s="12"/>
      <c r="N540" s="31"/>
      <c r="O540" s="31"/>
      <c r="P540" s="30"/>
      <c r="Q540" s="30"/>
      <c r="R540" s="30"/>
    </row>
    <row r="541" spans="6:18" s="1" customFormat="1" x14ac:dyDescent="0.3">
      <c r="F541" s="12"/>
      <c r="H541" s="12"/>
      <c r="N541" s="31"/>
      <c r="O541" s="31"/>
      <c r="P541" s="30"/>
      <c r="Q541" s="30"/>
      <c r="R541" s="30"/>
    </row>
    <row r="542" spans="6:18" s="1" customFormat="1" x14ac:dyDescent="0.3">
      <c r="F542" s="12"/>
      <c r="H542" s="12"/>
      <c r="N542" s="31"/>
      <c r="O542" s="31"/>
      <c r="P542" s="30"/>
      <c r="Q542" s="30"/>
      <c r="R542" s="30"/>
    </row>
    <row r="543" spans="6:18" s="1" customFormat="1" x14ac:dyDescent="0.3">
      <c r="F543" s="12"/>
      <c r="H543" s="12"/>
      <c r="N543" s="31"/>
      <c r="O543" s="31"/>
      <c r="P543" s="30"/>
      <c r="Q543" s="30"/>
      <c r="R543" s="30"/>
    </row>
    <row r="544" spans="6:18" s="1" customFormat="1" x14ac:dyDescent="0.3">
      <c r="F544" s="12"/>
      <c r="H544" s="12"/>
      <c r="N544" s="31"/>
      <c r="O544" s="31"/>
      <c r="P544" s="30"/>
      <c r="Q544" s="30"/>
      <c r="R544" s="30"/>
    </row>
    <row r="545" spans="6:18" s="1" customFormat="1" x14ac:dyDescent="0.3">
      <c r="F545" s="12"/>
      <c r="H545" s="12"/>
      <c r="N545" s="31"/>
      <c r="O545" s="31"/>
      <c r="P545" s="30"/>
      <c r="Q545" s="30"/>
      <c r="R545" s="30"/>
    </row>
    <row r="546" spans="6:18" s="1" customFormat="1" x14ac:dyDescent="0.3">
      <c r="F546" s="12"/>
      <c r="H546" s="12"/>
      <c r="N546" s="31"/>
      <c r="O546" s="31"/>
      <c r="P546" s="30"/>
      <c r="Q546" s="30"/>
      <c r="R546" s="30"/>
    </row>
    <row r="547" spans="6:18" s="1" customFormat="1" x14ac:dyDescent="0.3">
      <c r="F547" s="12"/>
      <c r="H547" s="12"/>
      <c r="N547" s="31"/>
      <c r="O547" s="31"/>
      <c r="P547" s="30"/>
      <c r="Q547" s="30"/>
      <c r="R547" s="30"/>
    </row>
    <row r="548" spans="6:18" s="1" customFormat="1" x14ac:dyDescent="0.3">
      <c r="F548" s="12"/>
      <c r="H548" s="12"/>
      <c r="N548" s="31"/>
      <c r="O548" s="31"/>
      <c r="P548" s="30"/>
      <c r="Q548" s="30"/>
      <c r="R548" s="30"/>
    </row>
    <row r="549" spans="6:18" s="1" customFormat="1" x14ac:dyDescent="0.3">
      <c r="F549" s="12"/>
      <c r="H549" s="12"/>
      <c r="N549" s="31"/>
      <c r="O549" s="31"/>
      <c r="P549" s="30"/>
      <c r="Q549" s="30"/>
      <c r="R549" s="30"/>
    </row>
    <row r="550" spans="6:18" s="1" customFormat="1" x14ac:dyDescent="0.3">
      <c r="F550" s="12"/>
      <c r="H550" s="12"/>
      <c r="N550" s="31"/>
      <c r="O550" s="31"/>
      <c r="P550" s="30"/>
      <c r="Q550" s="30"/>
      <c r="R550" s="30"/>
    </row>
    <row r="551" spans="6:18" s="1" customFormat="1" x14ac:dyDescent="0.3">
      <c r="F551" s="12"/>
      <c r="H551" s="12"/>
      <c r="N551" s="31"/>
      <c r="O551" s="31"/>
      <c r="P551" s="30"/>
      <c r="Q551" s="30"/>
      <c r="R551" s="30"/>
    </row>
    <row r="552" spans="6:18" s="1" customFormat="1" x14ac:dyDescent="0.3">
      <c r="F552" s="12"/>
      <c r="H552" s="12"/>
      <c r="N552" s="31"/>
      <c r="O552" s="31"/>
      <c r="P552" s="30"/>
      <c r="Q552" s="30"/>
      <c r="R552" s="30"/>
    </row>
    <row r="553" spans="6:18" s="1" customFormat="1" x14ac:dyDescent="0.3">
      <c r="F553" s="12"/>
      <c r="H553" s="12"/>
      <c r="N553" s="31"/>
      <c r="O553" s="31"/>
      <c r="P553" s="30"/>
      <c r="Q553" s="30"/>
      <c r="R553" s="30"/>
    </row>
    <row r="554" spans="6:18" s="1" customFormat="1" x14ac:dyDescent="0.3">
      <c r="F554" s="12"/>
      <c r="H554" s="12"/>
      <c r="N554" s="31"/>
      <c r="O554" s="31"/>
      <c r="P554" s="30"/>
      <c r="Q554" s="30"/>
      <c r="R554" s="30"/>
    </row>
    <row r="555" spans="6:18" s="1" customFormat="1" x14ac:dyDescent="0.3">
      <c r="F555" s="12"/>
      <c r="H555" s="12"/>
      <c r="N555" s="31"/>
      <c r="O555" s="31"/>
      <c r="P555" s="30"/>
      <c r="Q555" s="30"/>
      <c r="R555" s="30"/>
    </row>
    <row r="556" spans="6:18" s="1" customFormat="1" x14ac:dyDescent="0.3">
      <c r="F556" s="12"/>
      <c r="H556" s="12"/>
      <c r="N556" s="31"/>
      <c r="O556" s="31"/>
      <c r="P556" s="30"/>
      <c r="Q556" s="30"/>
      <c r="R556" s="30"/>
    </row>
    <row r="557" spans="6:18" s="1" customFormat="1" x14ac:dyDescent="0.3">
      <c r="F557" s="12"/>
      <c r="H557" s="12"/>
      <c r="N557" s="31"/>
      <c r="O557" s="31"/>
      <c r="P557" s="30"/>
      <c r="Q557" s="30"/>
      <c r="R557" s="30"/>
    </row>
    <row r="558" spans="6:18" s="1" customFormat="1" x14ac:dyDescent="0.3">
      <c r="F558" s="12"/>
      <c r="H558" s="12"/>
      <c r="N558" s="31"/>
      <c r="O558" s="31"/>
      <c r="P558" s="30"/>
      <c r="Q558" s="30"/>
      <c r="R558" s="30"/>
    </row>
    <row r="559" spans="6:18" s="1" customFormat="1" x14ac:dyDescent="0.3">
      <c r="F559" s="12"/>
      <c r="H559" s="12"/>
      <c r="N559" s="31"/>
      <c r="O559" s="31"/>
      <c r="P559" s="30"/>
      <c r="Q559" s="30"/>
      <c r="R559" s="30"/>
    </row>
    <row r="560" spans="6:18" s="1" customFormat="1" x14ac:dyDescent="0.3">
      <c r="F560" s="12"/>
      <c r="H560" s="12"/>
      <c r="N560" s="31"/>
      <c r="O560" s="31"/>
      <c r="P560" s="30"/>
      <c r="Q560" s="30"/>
      <c r="R560" s="30"/>
    </row>
    <row r="561" spans="6:18" s="1" customFormat="1" x14ac:dyDescent="0.3">
      <c r="F561" s="12"/>
      <c r="H561" s="12"/>
      <c r="N561" s="31"/>
      <c r="O561" s="31"/>
      <c r="P561" s="30"/>
      <c r="Q561" s="30"/>
      <c r="R561" s="30"/>
    </row>
    <row r="562" spans="6:18" s="1" customFormat="1" x14ac:dyDescent="0.3">
      <c r="F562" s="12"/>
      <c r="H562" s="12"/>
      <c r="N562" s="31"/>
      <c r="O562" s="31"/>
      <c r="P562" s="30"/>
      <c r="Q562" s="30"/>
      <c r="R562" s="30"/>
    </row>
    <row r="563" spans="6:18" s="1" customFormat="1" x14ac:dyDescent="0.3">
      <c r="F563" s="12"/>
      <c r="H563" s="12"/>
      <c r="N563" s="31"/>
      <c r="O563" s="31"/>
      <c r="P563" s="30"/>
      <c r="Q563" s="30"/>
      <c r="R563" s="30"/>
    </row>
    <row r="564" spans="6:18" s="1" customFormat="1" x14ac:dyDescent="0.3">
      <c r="F564" s="12"/>
      <c r="H564" s="12"/>
      <c r="N564" s="31"/>
      <c r="O564" s="31"/>
      <c r="P564" s="30"/>
      <c r="Q564" s="30"/>
      <c r="R564" s="30"/>
    </row>
    <row r="565" spans="6:18" s="1" customFormat="1" x14ac:dyDescent="0.3">
      <c r="F565" s="12"/>
      <c r="H565" s="12"/>
      <c r="N565" s="31"/>
      <c r="O565" s="31"/>
      <c r="P565" s="30"/>
      <c r="Q565" s="30"/>
      <c r="R565" s="30"/>
    </row>
    <row r="566" spans="6:18" s="1" customFormat="1" x14ac:dyDescent="0.3">
      <c r="F566" s="12"/>
      <c r="H566" s="12"/>
      <c r="N566" s="31"/>
      <c r="O566" s="31"/>
      <c r="P566" s="30"/>
      <c r="Q566" s="30"/>
      <c r="R566" s="30"/>
    </row>
    <row r="567" spans="6:18" s="1" customFormat="1" x14ac:dyDescent="0.3">
      <c r="F567" s="12"/>
      <c r="H567" s="12"/>
      <c r="N567" s="31"/>
      <c r="O567" s="31"/>
      <c r="P567" s="30"/>
      <c r="Q567" s="30"/>
      <c r="R567" s="30"/>
    </row>
    <row r="568" spans="6:18" s="1" customFormat="1" x14ac:dyDescent="0.3">
      <c r="F568" s="12"/>
      <c r="H568" s="12"/>
      <c r="N568" s="31"/>
      <c r="O568" s="31"/>
      <c r="P568" s="30"/>
      <c r="Q568" s="30"/>
      <c r="R568" s="30"/>
    </row>
    <row r="569" spans="6:18" s="1" customFormat="1" x14ac:dyDescent="0.3">
      <c r="F569" s="12"/>
      <c r="H569" s="12"/>
      <c r="N569" s="31"/>
      <c r="O569" s="31"/>
      <c r="P569" s="30"/>
      <c r="Q569" s="30"/>
      <c r="R569" s="30"/>
    </row>
    <row r="570" spans="6:18" s="1" customFormat="1" x14ac:dyDescent="0.3">
      <c r="F570" s="12"/>
      <c r="H570" s="12"/>
      <c r="N570" s="31"/>
      <c r="O570" s="31"/>
      <c r="P570" s="30"/>
      <c r="Q570" s="30"/>
      <c r="R570" s="30"/>
    </row>
    <row r="571" spans="6:18" s="1" customFormat="1" x14ac:dyDescent="0.3">
      <c r="F571" s="12"/>
      <c r="H571" s="12"/>
      <c r="N571" s="31"/>
      <c r="O571" s="31"/>
      <c r="P571" s="30"/>
      <c r="Q571" s="30"/>
      <c r="R571" s="30"/>
    </row>
    <row r="572" spans="6:18" s="1" customFormat="1" x14ac:dyDescent="0.3">
      <c r="F572" s="12"/>
      <c r="H572" s="12"/>
      <c r="N572" s="31"/>
      <c r="O572" s="31"/>
      <c r="P572" s="30"/>
      <c r="Q572" s="30"/>
      <c r="R572" s="30"/>
    </row>
    <row r="573" spans="6:18" s="1" customFormat="1" x14ac:dyDescent="0.3">
      <c r="F573" s="12"/>
      <c r="H573" s="12"/>
      <c r="N573" s="31"/>
      <c r="O573" s="31"/>
      <c r="P573" s="30"/>
      <c r="Q573" s="30"/>
      <c r="R573" s="30"/>
    </row>
    <row r="574" spans="6:18" s="1" customFormat="1" x14ac:dyDescent="0.3">
      <c r="F574" s="12"/>
      <c r="H574" s="12"/>
      <c r="N574" s="31"/>
      <c r="O574" s="31"/>
      <c r="P574" s="30"/>
      <c r="Q574" s="30"/>
      <c r="R574" s="30"/>
    </row>
    <row r="575" spans="6:18" s="1" customFormat="1" x14ac:dyDescent="0.3">
      <c r="F575" s="12"/>
      <c r="H575" s="12"/>
      <c r="N575" s="31"/>
      <c r="O575" s="31"/>
      <c r="P575" s="30"/>
      <c r="Q575" s="30"/>
      <c r="R575" s="30"/>
    </row>
    <row r="576" spans="6:18" s="1" customFormat="1" x14ac:dyDescent="0.3">
      <c r="F576" s="12"/>
      <c r="H576" s="12"/>
      <c r="N576" s="31"/>
      <c r="O576" s="31"/>
      <c r="P576" s="30"/>
      <c r="Q576" s="30"/>
      <c r="R576" s="30"/>
    </row>
    <row r="577" spans="6:18" s="1" customFormat="1" x14ac:dyDescent="0.3">
      <c r="F577" s="12"/>
      <c r="H577" s="12"/>
      <c r="N577" s="31"/>
      <c r="O577" s="31"/>
      <c r="P577" s="30"/>
      <c r="Q577" s="30"/>
      <c r="R577" s="30"/>
    </row>
    <row r="578" spans="6:18" s="1" customFormat="1" x14ac:dyDescent="0.3">
      <c r="F578" s="12"/>
      <c r="H578" s="12"/>
      <c r="N578" s="31"/>
      <c r="O578" s="31"/>
      <c r="P578" s="30"/>
      <c r="Q578" s="30"/>
      <c r="R578" s="30"/>
    </row>
    <row r="579" spans="6:18" s="1" customFormat="1" x14ac:dyDescent="0.3">
      <c r="F579" s="12"/>
      <c r="H579" s="12"/>
      <c r="N579" s="31"/>
      <c r="O579" s="31"/>
      <c r="P579" s="30"/>
      <c r="Q579" s="30"/>
      <c r="R579" s="30"/>
    </row>
    <row r="580" spans="6:18" s="1" customFormat="1" x14ac:dyDescent="0.3">
      <c r="F580" s="12"/>
      <c r="H580" s="12"/>
      <c r="N580" s="31"/>
      <c r="O580" s="31"/>
      <c r="P580" s="30"/>
      <c r="Q580" s="30"/>
      <c r="R580" s="30"/>
    </row>
    <row r="581" spans="6:18" s="1" customFormat="1" x14ac:dyDescent="0.3">
      <c r="F581" s="12"/>
      <c r="H581" s="12"/>
      <c r="N581" s="31"/>
      <c r="O581" s="31"/>
      <c r="P581" s="30"/>
      <c r="Q581" s="30"/>
      <c r="R581" s="30"/>
    </row>
    <row r="582" spans="6:18" s="1" customFormat="1" x14ac:dyDescent="0.3">
      <c r="F582" s="12"/>
      <c r="H582" s="12"/>
      <c r="N582" s="31"/>
      <c r="O582" s="31"/>
      <c r="P582" s="30"/>
      <c r="Q582" s="30"/>
      <c r="R582" s="30"/>
    </row>
    <row r="583" spans="6:18" s="1" customFormat="1" x14ac:dyDescent="0.3">
      <c r="F583" s="12"/>
      <c r="H583" s="12"/>
      <c r="N583" s="31"/>
      <c r="O583" s="31"/>
      <c r="P583" s="30"/>
      <c r="Q583" s="30"/>
      <c r="R583" s="30"/>
    </row>
    <row r="584" spans="6:18" s="1" customFormat="1" x14ac:dyDescent="0.3">
      <c r="F584" s="12"/>
      <c r="H584" s="12"/>
      <c r="N584" s="31"/>
      <c r="O584" s="31"/>
      <c r="P584" s="30"/>
      <c r="Q584" s="30"/>
      <c r="R584" s="30"/>
    </row>
    <row r="585" spans="6:18" s="1" customFormat="1" x14ac:dyDescent="0.3">
      <c r="F585" s="12"/>
      <c r="H585" s="12"/>
      <c r="N585" s="31"/>
      <c r="O585" s="31"/>
      <c r="P585" s="30"/>
      <c r="Q585" s="30"/>
      <c r="R585" s="30"/>
    </row>
    <row r="586" spans="6:18" s="1" customFormat="1" x14ac:dyDescent="0.3">
      <c r="F586" s="12"/>
      <c r="H586" s="12"/>
      <c r="N586" s="31"/>
      <c r="O586" s="31"/>
      <c r="P586" s="30"/>
      <c r="Q586" s="30"/>
      <c r="R586" s="30"/>
    </row>
    <row r="587" spans="6:18" s="1" customFormat="1" x14ac:dyDescent="0.3">
      <c r="F587" s="12"/>
      <c r="H587" s="12"/>
      <c r="N587" s="31"/>
      <c r="O587" s="31"/>
      <c r="P587" s="30"/>
      <c r="Q587" s="30"/>
      <c r="R587" s="30"/>
    </row>
    <row r="588" spans="6:18" s="1" customFormat="1" x14ac:dyDescent="0.3">
      <c r="F588" s="12"/>
      <c r="H588" s="12"/>
      <c r="N588" s="31"/>
      <c r="O588" s="31"/>
      <c r="P588" s="30"/>
      <c r="Q588" s="30"/>
      <c r="R588" s="30"/>
    </row>
    <row r="589" spans="6:18" s="1" customFormat="1" x14ac:dyDescent="0.3">
      <c r="F589" s="12"/>
      <c r="H589" s="12"/>
      <c r="N589" s="31"/>
      <c r="O589" s="31"/>
      <c r="P589" s="30"/>
      <c r="Q589" s="30"/>
      <c r="R589" s="30"/>
    </row>
    <row r="590" spans="6:18" s="1" customFormat="1" x14ac:dyDescent="0.3">
      <c r="F590" s="12"/>
      <c r="H590" s="12"/>
      <c r="N590" s="31"/>
      <c r="O590" s="31"/>
      <c r="P590" s="30"/>
      <c r="Q590" s="30"/>
      <c r="R590" s="30"/>
    </row>
    <row r="591" spans="6:18" s="1" customFormat="1" x14ac:dyDescent="0.3">
      <c r="F591" s="12"/>
      <c r="H591" s="12"/>
      <c r="N591" s="31"/>
      <c r="O591" s="31"/>
      <c r="P591" s="30"/>
      <c r="Q591" s="30"/>
      <c r="R591" s="30"/>
    </row>
    <row r="592" spans="6:18" s="1" customFormat="1" x14ac:dyDescent="0.3">
      <c r="F592" s="12"/>
      <c r="H592" s="12"/>
      <c r="N592" s="31"/>
      <c r="O592" s="31"/>
      <c r="P592" s="30"/>
      <c r="Q592" s="30"/>
      <c r="R592" s="30"/>
    </row>
    <row r="593" spans="6:18" s="1" customFormat="1" x14ac:dyDescent="0.3">
      <c r="F593" s="12"/>
      <c r="H593" s="12"/>
      <c r="N593" s="31"/>
      <c r="O593" s="31"/>
      <c r="P593" s="30"/>
      <c r="Q593" s="30"/>
      <c r="R593" s="30"/>
    </row>
    <row r="594" spans="6:18" s="1" customFormat="1" x14ac:dyDescent="0.3">
      <c r="F594" s="12"/>
      <c r="H594" s="12"/>
      <c r="N594" s="31"/>
      <c r="O594" s="31"/>
      <c r="P594" s="30"/>
      <c r="Q594" s="30"/>
      <c r="R594" s="30"/>
    </row>
    <row r="595" spans="6:18" s="1" customFormat="1" x14ac:dyDescent="0.3">
      <c r="F595" s="12"/>
      <c r="H595" s="12"/>
      <c r="N595" s="31"/>
      <c r="O595" s="31"/>
      <c r="P595" s="30"/>
      <c r="Q595" s="30"/>
      <c r="R595" s="30"/>
    </row>
    <row r="596" spans="6:18" s="1" customFormat="1" x14ac:dyDescent="0.3">
      <c r="F596" s="12"/>
      <c r="H596" s="12"/>
      <c r="N596" s="31"/>
      <c r="O596" s="31"/>
      <c r="P596" s="30"/>
      <c r="Q596" s="30"/>
      <c r="R596" s="30"/>
    </row>
    <row r="597" spans="6:18" s="1" customFormat="1" x14ac:dyDescent="0.3">
      <c r="F597" s="12"/>
      <c r="H597" s="12"/>
      <c r="N597" s="31"/>
      <c r="O597" s="31"/>
      <c r="P597" s="30"/>
      <c r="Q597" s="30"/>
      <c r="R597" s="30"/>
    </row>
    <row r="598" spans="6:18" s="1" customFormat="1" x14ac:dyDescent="0.3">
      <c r="F598" s="12"/>
      <c r="H598" s="12"/>
      <c r="N598" s="31"/>
      <c r="O598" s="31"/>
      <c r="P598" s="30"/>
      <c r="Q598" s="30"/>
      <c r="R598" s="30"/>
    </row>
    <row r="599" spans="6:18" s="1" customFormat="1" x14ac:dyDescent="0.3">
      <c r="F599" s="12"/>
      <c r="H599" s="12"/>
      <c r="N599" s="31"/>
      <c r="O599" s="31"/>
      <c r="P599" s="30"/>
      <c r="Q599" s="30"/>
      <c r="R599" s="30"/>
    </row>
    <row r="600" spans="6:18" s="1" customFormat="1" x14ac:dyDescent="0.3">
      <c r="F600" s="12"/>
      <c r="H600" s="12"/>
      <c r="N600" s="31"/>
      <c r="O600" s="31"/>
      <c r="P600" s="30"/>
      <c r="Q600" s="30"/>
      <c r="R600" s="30"/>
    </row>
    <row r="601" spans="6:18" s="1" customFormat="1" x14ac:dyDescent="0.3">
      <c r="F601" s="12"/>
      <c r="H601" s="12"/>
      <c r="N601" s="31"/>
      <c r="O601" s="31"/>
      <c r="P601" s="30"/>
      <c r="Q601" s="30"/>
      <c r="R601" s="30"/>
    </row>
    <row r="602" spans="6:18" s="1" customFormat="1" x14ac:dyDescent="0.3">
      <c r="F602" s="12"/>
      <c r="H602" s="12"/>
      <c r="N602" s="31"/>
      <c r="O602" s="31"/>
      <c r="P602" s="30"/>
      <c r="Q602" s="30"/>
      <c r="R602" s="30"/>
    </row>
    <row r="603" spans="6:18" s="1" customFormat="1" x14ac:dyDescent="0.3">
      <c r="F603" s="12"/>
      <c r="H603" s="12"/>
      <c r="N603" s="31"/>
      <c r="O603" s="31"/>
      <c r="P603" s="30"/>
      <c r="Q603" s="30"/>
      <c r="R603" s="30"/>
    </row>
    <row r="604" spans="6:18" s="1" customFormat="1" x14ac:dyDescent="0.3">
      <c r="F604" s="12"/>
      <c r="H604" s="12"/>
      <c r="N604" s="31"/>
      <c r="O604" s="31"/>
      <c r="P604" s="30"/>
      <c r="Q604" s="30"/>
      <c r="R604" s="30"/>
    </row>
    <row r="605" spans="6:18" s="1" customFormat="1" x14ac:dyDescent="0.3">
      <c r="F605" s="12"/>
      <c r="H605" s="12"/>
      <c r="N605" s="31"/>
      <c r="O605" s="31"/>
      <c r="P605" s="30"/>
      <c r="Q605" s="30"/>
      <c r="R605" s="30"/>
    </row>
    <row r="606" spans="6:18" s="1" customFormat="1" x14ac:dyDescent="0.3">
      <c r="F606" s="12"/>
      <c r="H606" s="12"/>
      <c r="N606" s="31"/>
      <c r="O606" s="31"/>
      <c r="P606" s="30"/>
      <c r="Q606" s="30"/>
      <c r="R606" s="30"/>
    </row>
    <row r="607" spans="6:18" s="1" customFormat="1" x14ac:dyDescent="0.3">
      <c r="F607" s="12"/>
      <c r="H607" s="12"/>
      <c r="N607" s="31"/>
      <c r="O607" s="31"/>
      <c r="P607" s="30"/>
      <c r="Q607" s="30"/>
      <c r="R607" s="30"/>
    </row>
    <row r="608" spans="6:18" s="1" customFormat="1" x14ac:dyDescent="0.3">
      <c r="F608" s="12"/>
      <c r="H608" s="12"/>
      <c r="N608" s="31"/>
      <c r="O608" s="31"/>
      <c r="P608" s="30"/>
      <c r="Q608" s="30"/>
      <c r="R608" s="30"/>
    </row>
    <row r="609" spans="6:18" s="1" customFormat="1" x14ac:dyDescent="0.3">
      <c r="F609" s="12"/>
      <c r="H609" s="12"/>
      <c r="N609" s="31"/>
      <c r="O609" s="31"/>
      <c r="P609" s="30"/>
      <c r="Q609" s="30"/>
      <c r="R609" s="30"/>
    </row>
    <row r="610" spans="6:18" s="1" customFormat="1" x14ac:dyDescent="0.3">
      <c r="F610" s="12"/>
      <c r="H610" s="12"/>
      <c r="N610" s="31"/>
      <c r="O610" s="31"/>
      <c r="P610" s="30"/>
      <c r="Q610" s="30"/>
      <c r="R610" s="30"/>
    </row>
    <row r="611" spans="6:18" s="1" customFormat="1" x14ac:dyDescent="0.3">
      <c r="F611" s="12"/>
      <c r="H611" s="12"/>
      <c r="N611" s="31"/>
      <c r="O611" s="31"/>
      <c r="P611" s="30"/>
      <c r="Q611" s="30"/>
      <c r="R611" s="30"/>
    </row>
    <row r="612" spans="6:18" s="1" customFormat="1" x14ac:dyDescent="0.3">
      <c r="F612" s="12"/>
      <c r="H612" s="12"/>
      <c r="N612" s="31"/>
      <c r="O612" s="31"/>
      <c r="P612" s="30"/>
      <c r="Q612" s="30"/>
      <c r="R612" s="30"/>
    </row>
    <row r="613" spans="6:18" s="1" customFormat="1" x14ac:dyDescent="0.3">
      <c r="F613" s="12"/>
      <c r="H613" s="12"/>
      <c r="N613" s="31"/>
      <c r="O613" s="31"/>
      <c r="P613" s="30"/>
      <c r="Q613" s="30"/>
      <c r="R613" s="30"/>
    </row>
    <row r="614" spans="6:18" s="1" customFormat="1" x14ac:dyDescent="0.3">
      <c r="F614" s="12"/>
      <c r="H614" s="12"/>
      <c r="N614" s="31"/>
      <c r="O614" s="31"/>
      <c r="P614" s="30"/>
      <c r="Q614" s="30"/>
      <c r="R614" s="30"/>
    </row>
    <row r="615" spans="6:18" s="1" customFormat="1" x14ac:dyDescent="0.3">
      <c r="F615" s="12"/>
      <c r="H615" s="12"/>
      <c r="N615" s="31"/>
      <c r="O615" s="31"/>
      <c r="P615" s="30"/>
      <c r="Q615" s="30"/>
      <c r="R615" s="30"/>
    </row>
    <row r="616" spans="6:18" s="1" customFormat="1" x14ac:dyDescent="0.3">
      <c r="F616" s="12"/>
      <c r="H616" s="12"/>
      <c r="N616" s="31"/>
      <c r="O616" s="31"/>
      <c r="P616" s="30"/>
      <c r="Q616" s="30"/>
      <c r="R616" s="30"/>
    </row>
    <row r="617" spans="6:18" s="1" customFormat="1" x14ac:dyDescent="0.3">
      <c r="F617" s="12"/>
      <c r="H617" s="12"/>
      <c r="N617" s="31"/>
      <c r="O617" s="31"/>
      <c r="P617" s="30"/>
      <c r="Q617" s="30"/>
      <c r="R617" s="30"/>
    </row>
    <row r="618" spans="6:18" s="1" customFormat="1" x14ac:dyDescent="0.3">
      <c r="F618" s="12"/>
      <c r="H618" s="12"/>
      <c r="N618" s="31"/>
      <c r="O618" s="31"/>
      <c r="P618" s="30"/>
      <c r="Q618" s="30"/>
      <c r="R618" s="30"/>
    </row>
    <row r="619" spans="6:18" s="1" customFormat="1" x14ac:dyDescent="0.3">
      <c r="F619" s="12"/>
      <c r="H619" s="12"/>
      <c r="N619" s="31"/>
      <c r="O619" s="31"/>
      <c r="P619" s="30"/>
      <c r="Q619" s="30"/>
      <c r="R619" s="30"/>
    </row>
    <row r="620" spans="6:18" s="1" customFormat="1" x14ac:dyDescent="0.3">
      <c r="F620" s="12"/>
      <c r="H620" s="12"/>
      <c r="N620" s="31"/>
      <c r="O620" s="31"/>
      <c r="P620" s="30"/>
      <c r="Q620" s="30"/>
      <c r="R620" s="30"/>
    </row>
    <row r="621" spans="6:18" s="1" customFormat="1" x14ac:dyDescent="0.3">
      <c r="F621" s="12"/>
      <c r="H621" s="12"/>
      <c r="N621" s="31"/>
      <c r="O621" s="31"/>
      <c r="P621" s="30"/>
      <c r="Q621" s="30"/>
      <c r="R621" s="30"/>
    </row>
    <row r="622" spans="6:18" s="1" customFormat="1" x14ac:dyDescent="0.3">
      <c r="F622" s="12"/>
      <c r="H622" s="12"/>
      <c r="N622" s="31"/>
      <c r="O622" s="31"/>
      <c r="P622" s="30"/>
      <c r="Q622" s="30"/>
      <c r="R622" s="30"/>
    </row>
    <row r="623" spans="6:18" s="1" customFormat="1" x14ac:dyDescent="0.3">
      <c r="F623" s="12"/>
      <c r="H623" s="12"/>
      <c r="N623" s="31"/>
      <c r="O623" s="31"/>
      <c r="P623" s="30"/>
      <c r="Q623" s="30"/>
      <c r="R623" s="30"/>
    </row>
    <row r="624" spans="6:18" s="1" customFormat="1" x14ac:dyDescent="0.3">
      <c r="F624" s="12"/>
      <c r="H624" s="12"/>
      <c r="N624" s="31"/>
      <c r="O624" s="31"/>
      <c r="P624" s="30"/>
      <c r="Q624" s="30"/>
      <c r="R624" s="30"/>
    </row>
    <row r="625" spans="6:18" s="1" customFormat="1" x14ac:dyDescent="0.3">
      <c r="F625" s="12"/>
      <c r="H625" s="12"/>
      <c r="N625" s="31"/>
      <c r="O625" s="31"/>
      <c r="P625" s="30"/>
      <c r="Q625" s="30"/>
      <c r="R625" s="30"/>
    </row>
    <row r="626" spans="6:18" s="1" customFormat="1" x14ac:dyDescent="0.3">
      <c r="F626" s="12"/>
      <c r="H626" s="12"/>
      <c r="N626" s="31"/>
      <c r="O626" s="31"/>
      <c r="P626" s="30"/>
      <c r="Q626" s="30"/>
      <c r="R626" s="30"/>
    </row>
    <row r="627" spans="6:18" s="1" customFormat="1" x14ac:dyDescent="0.3">
      <c r="F627" s="12"/>
      <c r="H627" s="12"/>
      <c r="N627" s="31"/>
      <c r="O627" s="31"/>
      <c r="P627" s="30"/>
      <c r="Q627" s="30"/>
      <c r="R627" s="30"/>
    </row>
    <row r="628" spans="6:18" s="1" customFormat="1" x14ac:dyDescent="0.3">
      <c r="F628" s="12"/>
      <c r="H628" s="12"/>
      <c r="N628" s="31"/>
      <c r="O628" s="31"/>
      <c r="P628" s="30"/>
      <c r="Q628" s="30"/>
      <c r="R628" s="30"/>
    </row>
    <row r="629" spans="6:18" s="1" customFormat="1" x14ac:dyDescent="0.3">
      <c r="F629" s="12"/>
      <c r="H629" s="12"/>
      <c r="N629" s="31"/>
      <c r="O629" s="31"/>
      <c r="P629" s="30"/>
      <c r="Q629" s="30"/>
      <c r="R629" s="30"/>
    </row>
    <row r="630" spans="6:18" s="1" customFormat="1" x14ac:dyDescent="0.3">
      <c r="F630" s="12"/>
      <c r="H630" s="12"/>
      <c r="N630" s="31"/>
      <c r="O630" s="31"/>
      <c r="P630" s="30"/>
      <c r="Q630" s="30"/>
      <c r="R630" s="30"/>
    </row>
    <row r="631" spans="6:18" s="1" customFormat="1" x14ac:dyDescent="0.3">
      <c r="F631" s="12"/>
      <c r="H631" s="12"/>
      <c r="N631" s="31"/>
      <c r="O631" s="31"/>
      <c r="P631" s="30"/>
      <c r="Q631" s="30"/>
      <c r="R631" s="30"/>
    </row>
    <row r="632" spans="6:18" s="1" customFormat="1" x14ac:dyDescent="0.3">
      <c r="F632" s="12"/>
      <c r="H632" s="12"/>
      <c r="N632" s="31"/>
      <c r="O632" s="31"/>
      <c r="P632" s="30"/>
      <c r="Q632" s="30"/>
      <c r="R632" s="30"/>
    </row>
    <row r="633" spans="6:18" s="1" customFormat="1" x14ac:dyDescent="0.3">
      <c r="F633" s="12"/>
      <c r="H633" s="12"/>
      <c r="N633" s="31"/>
      <c r="O633" s="31"/>
      <c r="P633" s="30"/>
      <c r="Q633" s="30"/>
      <c r="R633" s="30"/>
    </row>
    <row r="634" spans="6:18" s="1" customFormat="1" x14ac:dyDescent="0.3">
      <c r="F634" s="12"/>
      <c r="H634" s="12"/>
      <c r="N634" s="31"/>
      <c r="O634" s="31"/>
      <c r="P634" s="30"/>
      <c r="Q634" s="30"/>
      <c r="R634" s="30"/>
    </row>
    <row r="635" spans="6:18" s="1" customFormat="1" x14ac:dyDescent="0.3">
      <c r="F635" s="12"/>
      <c r="H635" s="12"/>
      <c r="N635" s="31"/>
      <c r="O635" s="31"/>
      <c r="P635" s="30"/>
      <c r="Q635" s="30"/>
      <c r="R635" s="30"/>
    </row>
    <row r="636" spans="6:18" s="1" customFormat="1" x14ac:dyDescent="0.3">
      <c r="F636" s="12"/>
      <c r="H636" s="12"/>
      <c r="N636" s="31"/>
      <c r="O636" s="31"/>
      <c r="P636" s="30"/>
      <c r="Q636" s="30"/>
      <c r="R636" s="30"/>
    </row>
    <row r="637" spans="6:18" s="1" customFormat="1" x14ac:dyDescent="0.3">
      <c r="F637" s="12"/>
      <c r="H637" s="12"/>
      <c r="N637" s="31"/>
      <c r="O637" s="31"/>
      <c r="P637" s="30"/>
      <c r="Q637" s="30"/>
      <c r="R637" s="30"/>
    </row>
    <row r="638" spans="6:18" s="1" customFormat="1" x14ac:dyDescent="0.3">
      <c r="F638" s="12"/>
      <c r="H638" s="12"/>
      <c r="N638" s="31"/>
      <c r="O638" s="31"/>
      <c r="P638" s="30"/>
      <c r="Q638" s="30"/>
      <c r="R638" s="30"/>
    </row>
    <row r="639" spans="6:18" s="1" customFormat="1" x14ac:dyDescent="0.3">
      <c r="F639" s="12"/>
      <c r="H639" s="12"/>
      <c r="N639" s="31"/>
      <c r="O639" s="31"/>
      <c r="P639" s="30"/>
      <c r="Q639" s="30"/>
      <c r="R639" s="30"/>
    </row>
    <row r="640" spans="6:18" s="1" customFormat="1" x14ac:dyDescent="0.3">
      <c r="F640" s="12"/>
      <c r="H640" s="12"/>
      <c r="N640" s="31"/>
      <c r="O640" s="31"/>
      <c r="P640" s="30"/>
      <c r="Q640" s="30"/>
      <c r="R640" s="30"/>
    </row>
    <row r="641" spans="6:18" s="1" customFormat="1" x14ac:dyDescent="0.3">
      <c r="F641" s="12"/>
      <c r="H641" s="12"/>
      <c r="N641" s="31"/>
      <c r="O641" s="31"/>
      <c r="P641" s="30"/>
      <c r="Q641" s="30"/>
      <c r="R641" s="30"/>
    </row>
    <row r="642" spans="6:18" s="1" customFormat="1" x14ac:dyDescent="0.3">
      <c r="F642" s="12"/>
      <c r="H642" s="12"/>
      <c r="N642" s="31"/>
      <c r="O642" s="31"/>
      <c r="P642" s="30"/>
      <c r="Q642" s="30"/>
      <c r="R642" s="30"/>
    </row>
    <row r="643" spans="6:18" s="1" customFormat="1" x14ac:dyDescent="0.3">
      <c r="F643" s="12"/>
      <c r="H643" s="12"/>
      <c r="N643" s="31"/>
      <c r="O643" s="31"/>
      <c r="P643" s="30"/>
      <c r="Q643" s="30"/>
      <c r="R643" s="30"/>
    </row>
    <row r="644" spans="6:18" s="1" customFormat="1" x14ac:dyDescent="0.3">
      <c r="F644" s="12"/>
      <c r="H644" s="12"/>
      <c r="N644" s="31"/>
      <c r="O644" s="31"/>
      <c r="P644" s="30"/>
      <c r="Q644" s="30"/>
      <c r="R644" s="30"/>
    </row>
    <row r="645" spans="6:18" s="1" customFormat="1" x14ac:dyDescent="0.3">
      <c r="F645" s="12"/>
      <c r="H645" s="12"/>
      <c r="N645" s="31"/>
      <c r="O645" s="31"/>
      <c r="P645" s="30"/>
      <c r="Q645" s="30"/>
      <c r="R645" s="30"/>
    </row>
    <row r="646" spans="6:18" s="1" customFormat="1" x14ac:dyDescent="0.3">
      <c r="F646" s="12"/>
      <c r="H646" s="12"/>
      <c r="N646" s="31"/>
      <c r="O646" s="31"/>
      <c r="P646" s="30"/>
      <c r="Q646" s="30"/>
      <c r="R646" s="30"/>
    </row>
    <row r="647" spans="6:18" s="1" customFormat="1" x14ac:dyDescent="0.3">
      <c r="F647" s="12"/>
      <c r="H647" s="12"/>
      <c r="N647" s="31"/>
      <c r="O647" s="31"/>
      <c r="P647" s="30"/>
      <c r="Q647" s="30"/>
      <c r="R647" s="30"/>
    </row>
    <row r="648" spans="6:18" s="1" customFormat="1" x14ac:dyDescent="0.3">
      <c r="F648" s="12"/>
      <c r="H648" s="12"/>
      <c r="N648" s="31"/>
      <c r="O648" s="31"/>
      <c r="P648" s="30"/>
      <c r="Q648" s="30"/>
      <c r="R648" s="30"/>
    </row>
    <row r="649" spans="6:18" s="1" customFormat="1" x14ac:dyDescent="0.3">
      <c r="F649" s="12"/>
      <c r="H649" s="12"/>
      <c r="N649" s="31"/>
      <c r="O649" s="31"/>
      <c r="P649" s="30"/>
      <c r="Q649" s="30"/>
      <c r="R649" s="30"/>
    </row>
    <row r="650" spans="6:18" s="1" customFormat="1" x14ac:dyDescent="0.3">
      <c r="F650" s="12"/>
      <c r="H650" s="12"/>
      <c r="N650" s="31"/>
      <c r="O650" s="31"/>
      <c r="P650" s="30"/>
      <c r="Q650" s="30"/>
      <c r="R650" s="30"/>
    </row>
    <row r="651" spans="6:18" s="1" customFormat="1" x14ac:dyDescent="0.3">
      <c r="F651" s="12"/>
      <c r="H651" s="12"/>
      <c r="N651" s="31"/>
      <c r="O651" s="31"/>
      <c r="P651" s="30"/>
      <c r="Q651" s="30"/>
      <c r="R651" s="30"/>
    </row>
    <row r="652" spans="6:18" s="1" customFormat="1" x14ac:dyDescent="0.3">
      <c r="F652" s="12"/>
      <c r="H652" s="12"/>
      <c r="N652" s="31"/>
      <c r="O652" s="31"/>
      <c r="P652" s="30"/>
      <c r="Q652" s="30"/>
      <c r="R652" s="30"/>
    </row>
    <row r="653" spans="6:18" s="1" customFormat="1" x14ac:dyDescent="0.3">
      <c r="F653" s="12"/>
      <c r="H653" s="12"/>
      <c r="N653" s="31"/>
      <c r="O653" s="31"/>
      <c r="P653" s="30"/>
      <c r="Q653" s="30"/>
      <c r="R653" s="30"/>
    </row>
    <row r="654" spans="6:18" s="1" customFormat="1" x14ac:dyDescent="0.3">
      <c r="F654" s="12"/>
      <c r="H654" s="12"/>
      <c r="N654" s="31"/>
      <c r="O654" s="31"/>
      <c r="P654" s="30"/>
      <c r="Q654" s="30"/>
      <c r="R654" s="30"/>
    </row>
    <row r="655" spans="6:18" s="1" customFormat="1" x14ac:dyDescent="0.3">
      <c r="F655" s="12"/>
      <c r="H655" s="12"/>
      <c r="N655" s="31"/>
      <c r="O655" s="31"/>
      <c r="P655" s="30"/>
      <c r="Q655" s="30"/>
      <c r="R655" s="30"/>
    </row>
    <row r="656" spans="6:18" s="1" customFormat="1" x14ac:dyDescent="0.3">
      <c r="F656" s="12"/>
      <c r="H656" s="12"/>
      <c r="N656" s="31"/>
      <c r="O656" s="31"/>
      <c r="P656" s="30"/>
      <c r="Q656" s="30"/>
      <c r="R656" s="30"/>
    </row>
    <row r="657" spans="6:18" s="1" customFormat="1" x14ac:dyDescent="0.3">
      <c r="F657" s="12"/>
      <c r="H657" s="12"/>
      <c r="N657" s="31"/>
      <c r="O657" s="31"/>
      <c r="P657" s="30"/>
      <c r="Q657" s="30"/>
      <c r="R657" s="30"/>
    </row>
    <row r="658" spans="6:18" s="1" customFormat="1" x14ac:dyDescent="0.3">
      <c r="F658" s="12"/>
      <c r="H658" s="12"/>
      <c r="N658" s="31"/>
      <c r="O658" s="31"/>
      <c r="P658" s="30"/>
      <c r="Q658" s="30"/>
      <c r="R658" s="30"/>
    </row>
    <row r="659" spans="6:18" s="1" customFormat="1" x14ac:dyDescent="0.3">
      <c r="F659" s="12"/>
      <c r="H659" s="12"/>
      <c r="N659" s="31"/>
      <c r="O659" s="31"/>
      <c r="P659" s="30"/>
      <c r="Q659" s="30"/>
      <c r="R659" s="30"/>
    </row>
    <row r="660" spans="6:18" s="1" customFormat="1" x14ac:dyDescent="0.3">
      <c r="F660" s="12"/>
      <c r="H660" s="12"/>
      <c r="N660" s="31"/>
      <c r="O660" s="31"/>
      <c r="P660" s="30"/>
      <c r="Q660" s="30"/>
      <c r="R660" s="30"/>
    </row>
    <row r="661" spans="6:18" s="1" customFormat="1" x14ac:dyDescent="0.3">
      <c r="F661" s="12"/>
      <c r="H661" s="12"/>
      <c r="N661" s="31"/>
      <c r="O661" s="31"/>
      <c r="P661" s="30"/>
      <c r="Q661" s="30"/>
      <c r="R661" s="30"/>
    </row>
    <row r="662" spans="6:18" s="1" customFormat="1" x14ac:dyDescent="0.3">
      <c r="F662" s="12"/>
      <c r="H662" s="12"/>
      <c r="N662" s="31"/>
      <c r="O662" s="31"/>
      <c r="P662" s="30"/>
      <c r="Q662" s="30"/>
      <c r="R662" s="30"/>
    </row>
    <row r="663" spans="6:18" s="1" customFormat="1" x14ac:dyDescent="0.3">
      <c r="F663" s="12"/>
      <c r="H663" s="12"/>
      <c r="N663" s="31"/>
      <c r="O663" s="31"/>
      <c r="P663" s="30"/>
      <c r="Q663" s="30"/>
      <c r="R663" s="30"/>
    </row>
    <row r="664" spans="6:18" s="1" customFormat="1" x14ac:dyDescent="0.3">
      <c r="F664" s="12"/>
      <c r="H664" s="12"/>
      <c r="N664" s="31"/>
      <c r="O664" s="31"/>
      <c r="P664" s="30"/>
      <c r="Q664" s="30"/>
      <c r="R664" s="30"/>
    </row>
    <row r="665" spans="6:18" s="1" customFormat="1" x14ac:dyDescent="0.3">
      <c r="F665" s="12"/>
      <c r="H665" s="12"/>
      <c r="N665" s="31"/>
      <c r="O665" s="31"/>
      <c r="P665" s="30"/>
      <c r="Q665" s="30"/>
      <c r="R665" s="30"/>
    </row>
    <row r="666" spans="6:18" s="1" customFormat="1" x14ac:dyDescent="0.3">
      <c r="F666" s="12"/>
      <c r="H666" s="12"/>
      <c r="N666" s="31"/>
      <c r="O666" s="31"/>
      <c r="P666" s="30"/>
      <c r="Q666" s="30"/>
      <c r="R666" s="30"/>
    </row>
    <row r="667" spans="6:18" s="1" customFormat="1" x14ac:dyDescent="0.3">
      <c r="F667" s="12"/>
      <c r="H667" s="12"/>
      <c r="N667" s="31"/>
      <c r="O667" s="31"/>
      <c r="P667" s="30"/>
      <c r="Q667" s="30"/>
      <c r="R667" s="30"/>
    </row>
    <row r="668" spans="6:18" s="1" customFormat="1" x14ac:dyDescent="0.3">
      <c r="F668" s="12"/>
      <c r="H668" s="12"/>
      <c r="N668" s="31"/>
      <c r="O668" s="31"/>
      <c r="P668" s="30"/>
      <c r="Q668" s="30"/>
      <c r="R668" s="30"/>
    </row>
    <row r="669" spans="6:18" s="1" customFormat="1" x14ac:dyDescent="0.3">
      <c r="F669" s="12"/>
      <c r="H669" s="12"/>
      <c r="N669" s="31"/>
      <c r="O669" s="31"/>
      <c r="P669" s="30"/>
      <c r="Q669" s="30"/>
      <c r="R669" s="30"/>
    </row>
    <row r="670" spans="6:18" s="1" customFormat="1" x14ac:dyDescent="0.3">
      <c r="F670" s="12"/>
      <c r="H670" s="12"/>
      <c r="N670" s="31"/>
      <c r="O670" s="31"/>
      <c r="P670" s="30"/>
      <c r="Q670" s="30"/>
      <c r="R670" s="30"/>
    </row>
    <row r="671" spans="6:18" s="1" customFormat="1" x14ac:dyDescent="0.3">
      <c r="F671" s="12"/>
      <c r="H671" s="12"/>
      <c r="N671" s="31"/>
      <c r="O671" s="31"/>
      <c r="P671" s="30"/>
      <c r="Q671" s="30"/>
      <c r="R671" s="30"/>
    </row>
    <row r="672" spans="6:18" s="1" customFormat="1" x14ac:dyDescent="0.3">
      <c r="F672" s="12"/>
      <c r="H672" s="12"/>
      <c r="N672" s="31"/>
      <c r="O672" s="31"/>
      <c r="P672" s="30"/>
      <c r="Q672" s="30"/>
      <c r="R672" s="30"/>
    </row>
    <row r="673" spans="6:18" s="1" customFormat="1" x14ac:dyDescent="0.3">
      <c r="F673" s="12"/>
      <c r="H673" s="12"/>
      <c r="N673" s="31"/>
      <c r="O673" s="31"/>
      <c r="P673" s="30"/>
      <c r="Q673" s="30"/>
      <c r="R673" s="30"/>
    </row>
    <row r="674" spans="6:18" s="1" customFormat="1" x14ac:dyDescent="0.3">
      <c r="F674" s="12"/>
      <c r="H674" s="12"/>
      <c r="N674" s="31"/>
      <c r="O674" s="31"/>
      <c r="P674" s="30"/>
      <c r="Q674" s="30"/>
      <c r="R674" s="30"/>
    </row>
    <row r="675" spans="6:18" s="1" customFormat="1" x14ac:dyDescent="0.3">
      <c r="F675" s="12"/>
      <c r="H675" s="12"/>
      <c r="N675" s="31"/>
      <c r="O675" s="31"/>
      <c r="P675" s="30"/>
      <c r="Q675" s="30"/>
      <c r="R675" s="30"/>
    </row>
    <row r="676" spans="6:18" s="1" customFormat="1" x14ac:dyDescent="0.3">
      <c r="F676" s="12"/>
      <c r="H676" s="12"/>
      <c r="N676" s="31"/>
      <c r="O676" s="31"/>
      <c r="P676" s="30"/>
      <c r="Q676" s="30"/>
      <c r="R676" s="30"/>
    </row>
    <row r="677" spans="6:18" s="1" customFormat="1" x14ac:dyDescent="0.3">
      <c r="F677" s="12"/>
      <c r="H677" s="12"/>
      <c r="N677" s="31"/>
      <c r="O677" s="31"/>
      <c r="P677" s="30"/>
      <c r="Q677" s="30"/>
      <c r="R677" s="30"/>
    </row>
    <row r="678" spans="6:18" s="1" customFormat="1" x14ac:dyDescent="0.3">
      <c r="F678" s="12"/>
      <c r="H678" s="12"/>
      <c r="N678" s="31"/>
      <c r="O678" s="31"/>
      <c r="P678" s="30"/>
      <c r="Q678" s="30"/>
      <c r="R678" s="30"/>
    </row>
    <row r="679" spans="6:18" s="1" customFormat="1" x14ac:dyDescent="0.3">
      <c r="F679" s="12"/>
      <c r="H679" s="12"/>
      <c r="N679" s="31"/>
      <c r="O679" s="31"/>
      <c r="P679" s="30"/>
      <c r="Q679" s="30"/>
      <c r="R679" s="30"/>
    </row>
    <row r="680" spans="6:18" s="1" customFormat="1" x14ac:dyDescent="0.3">
      <c r="F680" s="12"/>
      <c r="H680" s="12"/>
      <c r="N680" s="31"/>
      <c r="O680" s="31"/>
      <c r="P680" s="30"/>
      <c r="Q680" s="30"/>
      <c r="R680" s="30"/>
    </row>
    <row r="681" spans="6:18" s="1" customFormat="1" x14ac:dyDescent="0.3">
      <c r="F681" s="12"/>
      <c r="H681" s="12"/>
      <c r="N681" s="31"/>
      <c r="O681" s="31"/>
      <c r="P681" s="30"/>
      <c r="Q681" s="30"/>
      <c r="R681" s="30"/>
    </row>
    <row r="682" spans="6:18" s="1" customFormat="1" x14ac:dyDescent="0.3">
      <c r="F682" s="12"/>
      <c r="H682" s="12"/>
      <c r="N682" s="31"/>
      <c r="O682" s="31"/>
      <c r="P682" s="30"/>
      <c r="Q682" s="30"/>
      <c r="R682" s="30"/>
    </row>
    <row r="683" spans="6:18" s="1" customFormat="1" x14ac:dyDescent="0.3">
      <c r="F683" s="12"/>
      <c r="H683" s="12"/>
      <c r="N683" s="31"/>
      <c r="O683" s="31"/>
      <c r="P683" s="30"/>
      <c r="Q683" s="30"/>
      <c r="R683" s="30"/>
    </row>
    <row r="684" spans="6:18" s="1" customFormat="1" x14ac:dyDescent="0.3">
      <c r="F684" s="12"/>
      <c r="H684" s="12"/>
      <c r="N684" s="31"/>
      <c r="O684" s="31"/>
      <c r="P684" s="30"/>
      <c r="Q684" s="30"/>
      <c r="R684" s="30"/>
    </row>
    <row r="685" spans="6:18" s="1" customFormat="1" x14ac:dyDescent="0.3">
      <c r="F685" s="12"/>
      <c r="H685" s="12"/>
      <c r="N685" s="31"/>
      <c r="O685" s="31"/>
      <c r="P685" s="30"/>
      <c r="Q685" s="30"/>
      <c r="R685" s="30"/>
    </row>
    <row r="686" spans="6:18" s="1" customFormat="1" x14ac:dyDescent="0.3">
      <c r="F686" s="12"/>
      <c r="H686" s="12"/>
      <c r="N686" s="31"/>
      <c r="O686" s="31"/>
      <c r="P686" s="30"/>
      <c r="Q686" s="30"/>
      <c r="R686" s="30"/>
    </row>
    <row r="687" spans="6:18" s="1" customFormat="1" x14ac:dyDescent="0.3">
      <c r="F687" s="12"/>
      <c r="H687" s="12"/>
      <c r="N687" s="31"/>
      <c r="O687" s="31"/>
      <c r="P687" s="30"/>
      <c r="Q687" s="30"/>
      <c r="R687" s="30"/>
    </row>
    <row r="688" spans="6:18" s="1" customFormat="1" x14ac:dyDescent="0.3">
      <c r="F688" s="12"/>
      <c r="H688" s="12"/>
      <c r="N688" s="31"/>
      <c r="O688" s="31"/>
      <c r="P688" s="30"/>
      <c r="Q688" s="30"/>
      <c r="R688" s="30"/>
    </row>
    <row r="689" spans="6:18" s="1" customFormat="1" x14ac:dyDescent="0.3">
      <c r="F689" s="12"/>
      <c r="H689" s="12"/>
      <c r="N689" s="31"/>
      <c r="O689" s="31"/>
      <c r="P689" s="30"/>
      <c r="Q689" s="30"/>
      <c r="R689" s="30"/>
    </row>
    <row r="690" spans="6:18" s="1" customFormat="1" x14ac:dyDescent="0.3">
      <c r="F690" s="12"/>
      <c r="H690" s="12"/>
      <c r="N690" s="31"/>
      <c r="O690" s="31"/>
      <c r="P690" s="30"/>
      <c r="Q690" s="30"/>
      <c r="R690" s="30"/>
    </row>
    <row r="691" spans="6:18" s="1" customFormat="1" x14ac:dyDescent="0.3">
      <c r="F691" s="12"/>
      <c r="H691" s="12"/>
      <c r="N691" s="31"/>
      <c r="O691" s="31"/>
      <c r="P691" s="30"/>
      <c r="Q691" s="30"/>
      <c r="R691" s="30"/>
    </row>
    <row r="692" spans="6:18" s="1" customFormat="1" x14ac:dyDescent="0.3">
      <c r="F692" s="12"/>
      <c r="H692" s="12"/>
      <c r="N692" s="31"/>
      <c r="O692" s="31"/>
      <c r="P692" s="30"/>
      <c r="Q692" s="30"/>
      <c r="R692" s="30"/>
    </row>
    <row r="693" spans="6:18" s="1" customFormat="1" x14ac:dyDescent="0.3">
      <c r="F693" s="12"/>
      <c r="H693" s="12"/>
      <c r="N693" s="31"/>
      <c r="O693" s="31"/>
      <c r="P693" s="30"/>
      <c r="Q693" s="30"/>
      <c r="R693" s="30"/>
    </row>
    <row r="694" spans="6:18" s="1" customFormat="1" x14ac:dyDescent="0.3">
      <c r="F694" s="12"/>
      <c r="H694" s="12"/>
      <c r="N694" s="31"/>
      <c r="O694" s="31"/>
      <c r="P694" s="30"/>
      <c r="Q694" s="30"/>
      <c r="R694" s="30"/>
    </row>
    <row r="695" spans="6:18" s="1" customFormat="1" x14ac:dyDescent="0.3">
      <c r="F695" s="12"/>
      <c r="H695" s="12"/>
      <c r="N695" s="31"/>
      <c r="O695" s="31"/>
      <c r="P695" s="30"/>
      <c r="Q695" s="30"/>
      <c r="R695" s="30"/>
    </row>
    <row r="696" spans="6:18" s="1" customFormat="1" x14ac:dyDescent="0.3">
      <c r="F696" s="12"/>
      <c r="H696" s="12"/>
      <c r="N696" s="31"/>
      <c r="O696" s="31"/>
      <c r="P696" s="30"/>
      <c r="Q696" s="30"/>
      <c r="R696" s="30"/>
    </row>
    <row r="697" spans="6:18" s="1" customFormat="1" x14ac:dyDescent="0.3">
      <c r="F697" s="12"/>
      <c r="H697" s="12"/>
      <c r="N697" s="31"/>
      <c r="O697" s="31"/>
      <c r="P697" s="30"/>
      <c r="Q697" s="30"/>
      <c r="R697" s="30"/>
    </row>
    <row r="698" spans="6:18" s="1" customFormat="1" x14ac:dyDescent="0.3">
      <c r="F698" s="12"/>
      <c r="H698" s="12"/>
      <c r="N698" s="31"/>
      <c r="O698" s="31"/>
      <c r="P698" s="30"/>
      <c r="Q698" s="30"/>
      <c r="R698" s="30"/>
    </row>
    <row r="699" spans="6:18" s="1" customFormat="1" x14ac:dyDescent="0.3">
      <c r="F699" s="12"/>
      <c r="H699" s="12"/>
      <c r="N699" s="31"/>
      <c r="O699" s="31"/>
      <c r="P699" s="30"/>
      <c r="Q699" s="30"/>
      <c r="R699" s="30"/>
    </row>
    <row r="700" spans="6:18" s="1" customFormat="1" x14ac:dyDescent="0.3">
      <c r="F700" s="12"/>
      <c r="H700" s="12"/>
      <c r="N700" s="31"/>
      <c r="O700" s="31"/>
      <c r="P700" s="30"/>
      <c r="Q700" s="30"/>
      <c r="R700" s="30"/>
    </row>
    <row r="701" spans="6:18" s="1" customFormat="1" x14ac:dyDescent="0.3">
      <c r="F701" s="12"/>
      <c r="H701" s="12"/>
      <c r="N701" s="31"/>
      <c r="O701" s="31"/>
      <c r="P701" s="30"/>
      <c r="Q701" s="30"/>
      <c r="R701" s="30"/>
    </row>
    <row r="702" spans="6:18" s="1" customFormat="1" x14ac:dyDescent="0.3">
      <c r="F702" s="12"/>
      <c r="H702" s="12"/>
      <c r="N702" s="31"/>
      <c r="O702" s="31"/>
      <c r="P702" s="30"/>
      <c r="Q702" s="30"/>
      <c r="R702" s="30"/>
    </row>
    <row r="703" spans="6:18" s="1" customFormat="1" x14ac:dyDescent="0.3">
      <c r="F703" s="12"/>
      <c r="H703" s="12"/>
      <c r="N703" s="31"/>
      <c r="O703" s="31"/>
      <c r="P703" s="30"/>
      <c r="Q703" s="30"/>
      <c r="R703" s="30"/>
    </row>
    <row r="704" spans="6:18" s="1" customFormat="1" x14ac:dyDescent="0.3">
      <c r="F704" s="12"/>
      <c r="H704" s="12"/>
      <c r="N704" s="31"/>
      <c r="O704" s="31"/>
      <c r="P704" s="30"/>
      <c r="Q704" s="30"/>
      <c r="R704" s="30"/>
    </row>
    <row r="705" spans="6:18" s="1" customFormat="1" x14ac:dyDescent="0.3">
      <c r="F705" s="12"/>
      <c r="H705" s="12"/>
      <c r="N705" s="31"/>
      <c r="O705" s="31"/>
      <c r="P705" s="30"/>
      <c r="Q705" s="30"/>
      <c r="R705" s="30"/>
    </row>
    <row r="706" spans="6:18" s="1" customFormat="1" x14ac:dyDescent="0.3">
      <c r="F706" s="12"/>
      <c r="H706" s="12"/>
      <c r="N706" s="31"/>
      <c r="O706" s="31"/>
      <c r="P706" s="30"/>
      <c r="Q706" s="30"/>
      <c r="R706" s="30"/>
    </row>
    <row r="707" spans="6:18" s="1" customFormat="1" x14ac:dyDescent="0.3">
      <c r="F707" s="12"/>
      <c r="H707" s="12"/>
      <c r="N707" s="31"/>
      <c r="O707" s="31"/>
      <c r="P707" s="30"/>
      <c r="Q707" s="30"/>
      <c r="R707" s="30"/>
    </row>
    <row r="708" spans="6:18" s="1" customFormat="1" x14ac:dyDescent="0.3">
      <c r="F708" s="12"/>
      <c r="H708" s="12"/>
      <c r="N708" s="31"/>
      <c r="O708" s="31"/>
      <c r="P708" s="30"/>
      <c r="Q708" s="30"/>
      <c r="R708" s="30"/>
    </row>
    <row r="709" spans="6:18" s="1" customFormat="1" x14ac:dyDescent="0.3">
      <c r="F709" s="12"/>
      <c r="H709" s="12"/>
      <c r="N709" s="31"/>
      <c r="O709" s="31"/>
      <c r="P709" s="30"/>
      <c r="Q709" s="30"/>
      <c r="R709" s="30"/>
    </row>
    <row r="710" spans="6:18" s="1" customFormat="1" x14ac:dyDescent="0.3">
      <c r="F710" s="12"/>
      <c r="H710" s="12"/>
      <c r="N710" s="31"/>
      <c r="O710" s="31"/>
      <c r="P710" s="30"/>
      <c r="Q710" s="30"/>
      <c r="R710" s="30"/>
    </row>
    <row r="711" spans="6:18" s="1" customFormat="1" x14ac:dyDescent="0.3">
      <c r="F711" s="12"/>
      <c r="H711" s="12"/>
      <c r="N711" s="31"/>
      <c r="O711" s="31"/>
      <c r="P711" s="30"/>
      <c r="Q711" s="30"/>
      <c r="R711" s="30"/>
    </row>
    <row r="712" spans="6:18" s="1" customFormat="1" x14ac:dyDescent="0.3">
      <c r="F712" s="12"/>
      <c r="H712" s="12"/>
      <c r="N712" s="31"/>
      <c r="O712" s="31"/>
      <c r="P712" s="30"/>
      <c r="Q712" s="30"/>
      <c r="R712" s="30"/>
    </row>
    <row r="713" spans="6:18" s="1" customFormat="1" x14ac:dyDescent="0.3">
      <c r="F713" s="12"/>
      <c r="H713" s="12"/>
      <c r="N713" s="31"/>
      <c r="O713" s="31"/>
      <c r="P713" s="30"/>
      <c r="Q713" s="30"/>
      <c r="R713" s="30"/>
    </row>
    <row r="714" spans="6:18" s="1" customFormat="1" x14ac:dyDescent="0.3">
      <c r="F714" s="12"/>
      <c r="H714" s="12"/>
      <c r="N714" s="31"/>
      <c r="O714" s="31"/>
      <c r="P714" s="30"/>
      <c r="Q714" s="30"/>
      <c r="R714" s="30"/>
    </row>
    <row r="715" spans="6:18" s="1" customFormat="1" x14ac:dyDescent="0.3">
      <c r="F715" s="12"/>
      <c r="H715" s="12"/>
      <c r="N715" s="31"/>
      <c r="O715" s="31"/>
      <c r="P715" s="30"/>
      <c r="Q715" s="30"/>
      <c r="R715" s="30"/>
    </row>
    <row r="716" spans="6:18" s="1" customFormat="1" x14ac:dyDescent="0.3">
      <c r="F716" s="12"/>
      <c r="H716" s="12"/>
      <c r="N716" s="31"/>
      <c r="O716" s="31"/>
      <c r="P716" s="30"/>
      <c r="Q716" s="30"/>
      <c r="R716" s="30"/>
    </row>
    <row r="717" spans="6:18" s="1" customFormat="1" x14ac:dyDescent="0.3">
      <c r="F717" s="12"/>
      <c r="H717" s="12"/>
      <c r="N717" s="31"/>
      <c r="O717" s="31"/>
      <c r="P717" s="30"/>
      <c r="Q717" s="30"/>
      <c r="R717" s="30"/>
    </row>
    <row r="718" spans="6:18" s="1" customFormat="1" x14ac:dyDescent="0.3">
      <c r="F718" s="12"/>
      <c r="H718" s="12"/>
      <c r="N718" s="31"/>
      <c r="O718" s="31"/>
      <c r="P718" s="30"/>
      <c r="Q718" s="30"/>
      <c r="R718" s="30"/>
    </row>
    <row r="719" spans="6:18" s="1" customFormat="1" x14ac:dyDescent="0.3">
      <c r="F719" s="12"/>
      <c r="H719" s="12"/>
      <c r="N719" s="31"/>
      <c r="O719" s="31"/>
      <c r="P719" s="30"/>
      <c r="Q719" s="30"/>
      <c r="R719" s="30"/>
    </row>
    <row r="720" spans="6:18" s="1" customFormat="1" x14ac:dyDescent="0.3">
      <c r="F720" s="12"/>
      <c r="H720" s="12"/>
      <c r="N720" s="31"/>
      <c r="O720" s="31"/>
      <c r="P720" s="30"/>
      <c r="Q720" s="30"/>
      <c r="R720" s="30"/>
    </row>
    <row r="721" spans="6:18" s="1" customFormat="1" x14ac:dyDescent="0.3">
      <c r="F721" s="12"/>
      <c r="H721" s="12"/>
      <c r="N721" s="31"/>
      <c r="O721" s="31"/>
      <c r="P721" s="30"/>
      <c r="Q721" s="30"/>
      <c r="R721" s="30"/>
    </row>
    <row r="722" spans="6:18" s="1" customFormat="1" x14ac:dyDescent="0.3">
      <c r="F722" s="12"/>
      <c r="H722" s="12"/>
      <c r="N722" s="31"/>
      <c r="O722" s="31"/>
      <c r="P722" s="30"/>
      <c r="Q722" s="30"/>
      <c r="R722" s="30"/>
    </row>
    <row r="723" spans="6:18" s="1" customFormat="1" x14ac:dyDescent="0.3">
      <c r="F723" s="12"/>
      <c r="H723" s="12"/>
      <c r="N723" s="31"/>
      <c r="O723" s="31"/>
      <c r="P723" s="30"/>
      <c r="Q723" s="30"/>
      <c r="R723" s="30"/>
    </row>
    <row r="724" spans="6:18" s="1" customFormat="1" x14ac:dyDescent="0.3">
      <c r="F724" s="12"/>
      <c r="H724" s="12"/>
      <c r="N724" s="31"/>
      <c r="O724" s="31"/>
      <c r="P724" s="30"/>
      <c r="Q724" s="30"/>
      <c r="R724" s="30"/>
    </row>
    <row r="725" spans="6:18" s="1" customFormat="1" x14ac:dyDescent="0.3">
      <c r="F725" s="12"/>
      <c r="H725" s="12"/>
      <c r="N725" s="31"/>
      <c r="O725" s="31"/>
      <c r="P725" s="30"/>
      <c r="Q725" s="30"/>
      <c r="R725" s="30"/>
    </row>
    <row r="726" spans="6:18" s="1" customFormat="1" x14ac:dyDescent="0.3">
      <c r="F726" s="12"/>
      <c r="H726" s="12"/>
      <c r="N726" s="31"/>
      <c r="O726" s="31"/>
      <c r="P726" s="30"/>
      <c r="Q726" s="30"/>
      <c r="R726" s="30"/>
    </row>
    <row r="727" spans="6:18" s="1" customFormat="1" x14ac:dyDescent="0.3">
      <c r="F727" s="12"/>
      <c r="H727" s="12"/>
      <c r="N727" s="31"/>
      <c r="O727" s="31"/>
      <c r="P727" s="30"/>
      <c r="Q727" s="30"/>
      <c r="R727" s="30"/>
    </row>
    <row r="728" spans="6:18" s="1" customFormat="1" x14ac:dyDescent="0.3">
      <c r="F728" s="12"/>
      <c r="H728" s="12"/>
      <c r="N728" s="31"/>
      <c r="O728" s="31"/>
      <c r="P728" s="30"/>
      <c r="Q728" s="30"/>
      <c r="R728" s="30"/>
    </row>
    <row r="729" spans="6:18" s="1" customFormat="1" x14ac:dyDescent="0.3">
      <c r="F729" s="12"/>
      <c r="H729" s="12"/>
      <c r="N729" s="31"/>
      <c r="O729" s="31"/>
      <c r="P729" s="30"/>
      <c r="Q729" s="30"/>
      <c r="R729" s="30"/>
    </row>
    <row r="730" spans="6:18" s="1" customFormat="1" x14ac:dyDescent="0.3">
      <c r="F730" s="12"/>
      <c r="H730" s="12"/>
      <c r="N730" s="31"/>
      <c r="O730" s="31"/>
      <c r="P730" s="30"/>
      <c r="Q730" s="30"/>
      <c r="R730" s="30"/>
    </row>
    <row r="731" spans="6:18" s="1" customFormat="1" x14ac:dyDescent="0.3">
      <c r="F731" s="12"/>
      <c r="H731" s="12"/>
      <c r="N731" s="31"/>
      <c r="O731" s="31"/>
      <c r="P731" s="30"/>
      <c r="Q731" s="30"/>
      <c r="R731" s="30"/>
    </row>
    <row r="732" spans="6:18" s="1" customFormat="1" x14ac:dyDescent="0.3">
      <c r="F732" s="12"/>
      <c r="H732" s="12"/>
      <c r="N732" s="31"/>
      <c r="O732" s="31"/>
      <c r="P732" s="30"/>
      <c r="Q732" s="30"/>
      <c r="R732" s="30"/>
    </row>
    <row r="733" spans="6:18" s="1" customFormat="1" x14ac:dyDescent="0.3">
      <c r="F733" s="12"/>
      <c r="H733" s="12"/>
      <c r="N733" s="31"/>
      <c r="O733" s="31"/>
      <c r="P733" s="30"/>
      <c r="Q733" s="30"/>
      <c r="R733" s="30"/>
    </row>
    <row r="734" spans="6:18" s="1" customFormat="1" x14ac:dyDescent="0.3">
      <c r="F734" s="12"/>
      <c r="H734" s="12"/>
      <c r="N734" s="31"/>
      <c r="O734" s="31"/>
      <c r="P734" s="30"/>
      <c r="Q734" s="30"/>
      <c r="R734" s="30"/>
    </row>
    <row r="735" spans="6:18" s="1" customFormat="1" x14ac:dyDescent="0.3">
      <c r="F735" s="12"/>
      <c r="H735" s="12"/>
      <c r="N735" s="31"/>
      <c r="O735" s="31"/>
      <c r="P735" s="30"/>
      <c r="Q735" s="30"/>
      <c r="R735" s="30"/>
    </row>
    <row r="736" spans="6:18" s="1" customFormat="1" x14ac:dyDescent="0.3">
      <c r="F736" s="12"/>
      <c r="H736" s="12"/>
      <c r="N736" s="31"/>
      <c r="O736" s="31"/>
      <c r="P736" s="30"/>
      <c r="Q736" s="30"/>
      <c r="R736" s="30"/>
    </row>
    <row r="737" spans="6:18" s="1" customFormat="1" x14ac:dyDescent="0.3">
      <c r="F737" s="12"/>
      <c r="H737" s="12"/>
      <c r="N737" s="31"/>
      <c r="O737" s="31"/>
      <c r="P737" s="30"/>
      <c r="Q737" s="30"/>
      <c r="R737" s="30"/>
    </row>
    <row r="738" spans="6:18" s="1" customFormat="1" x14ac:dyDescent="0.3">
      <c r="F738" s="12"/>
      <c r="H738" s="12"/>
      <c r="N738" s="31"/>
      <c r="O738" s="31"/>
      <c r="P738" s="30"/>
      <c r="Q738" s="30"/>
      <c r="R738" s="30"/>
    </row>
    <row r="739" spans="6:18" s="1" customFormat="1" x14ac:dyDescent="0.3">
      <c r="F739" s="12"/>
      <c r="H739" s="12"/>
      <c r="N739" s="31"/>
      <c r="O739" s="31"/>
      <c r="P739" s="30"/>
      <c r="Q739" s="30"/>
      <c r="R739" s="30"/>
    </row>
    <row r="740" spans="6:18" s="1" customFormat="1" x14ac:dyDescent="0.3">
      <c r="F740" s="12"/>
      <c r="H740" s="12"/>
      <c r="N740" s="31"/>
      <c r="O740" s="31"/>
      <c r="P740" s="30"/>
      <c r="Q740" s="30"/>
      <c r="R740" s="30"/>
    </row>
    <row r="741" spans="6:18" s="1" customFormat="1" x14ac:dyDescent="0.3">
      <c r="F741" s="12"/>
      <c r="H741" s="12"/>
      <c r="N741" s="31"/>
      <c r="O741" s="31"/>
      <c r="P741" s="30"/>
      <c r="Q741" s="30"/>
      <c r="R741" s="30"/>
    </row>
    <row r="742" spans="6:18" s="1" customFormat="1" x14ac:dyDescent="0.3">
      <c r="F742" s="12"/>
      <c r="H742" s="12"/>
      <c r="N742" s="31"/>
      <c r="O742" s="31"/>
      <c r="P742" s="30"/>
      <c r="Q742" s="30"/>
      <c r="R742" s="30"/>
    </row>
    <row r="743" spans="6:18" s="1" customFormat="1" x14ac:dyDescent="0.3">
      <c r="F743" s="12"/>
      <c r="H743" s="12"/>
      <c r="N743" s="31"/>
      <c r="O743" s="31"/>
      <c r="P743" s="30"/>
      <c r="Q743" s="30"/>
      <c r="R743" s="30"/>
    </row>
    <row r="744" spans="6:18" s="1" customFormat="1" x14ac:dyDescent="0.3">
      <c r="F744" s="12"/>
      <c r="H744" s="12"/>
      <c r="N744" s="31"/>
      <c r="O744" s="31"/>
      <c r="P744" s="30"/>
      <c r="Q744" s="30"/>
      <c r="R744" s="30"/>
    </row>
    <row r="745" spans="6:18" s="1" customFormat="1" x14ac:dyDescent="0.3">
      <c r="F745" s="12"/>
      <c r="H745" s="12"/>
      <c r="N745" s="31"/>
      <c r="O745" s="31"/>
      <c r="P745" s="30"/>
      <c r="Q745" s="30"/>
      <c r="R745" s="30"/>
    </row>
    <row r="746" spans="6:18" s="1" customFormat="1" x14ac:dyDescent="0.3">
      <c r="F746" s="12"/>
      <c r="H746" s="12"/>
      <c r="N746" s="31"/>
      <c r="O746" s="31"/>
      <c r="P746" s="30"/>
      <c r="Q746" s="30"/>
      <c r="R746" s="30"/>
    </row>
    <row r="747" spans="6:18" s="1" customFormat="1" x14ac:dyDescent="0.3">
      <c r="F747" s="12"/>
      <c r="H747" s="12"/>
      <c r="N747" s="31"/>
      <c r="O747" s="31"/>
      <c r="P747" s="30"/>
      <c r="Q747" s="30"/>
      <c r="R747" s="30"/>
    </row>
    <row r="748" spans="6:18" s="1" customFormat="1" x14ac:dyDescent="0.3">
      <c r="F748" s="12"/>
      <c r="H748" s="12"/>
      <c r="N748" s="31"/>
      <c r="O748" s="31"/>
      <c r="P748" s="30"/>
      <c r="Q748" s="30"/>
      <c r="R748" s="30"/>
    </row>
    <row r="749" spans="6:18" s="1" customFormat="1" x14ac:dyDescent="0.3">
      <c r="F749" s="12"/>
      <c r="H749" s="12"/>
      <c r="N749" s="31"/>
      <c r="O749" s="31"/>
      <c r="P749" s="30"/>
      <c r="Q749" s="30"/>
      <c r="R749" s="30"/>
    </row>
    <row r="750" spans="6:18" s="1" customFormat="1" x14ac:dyDescent="0.3">
      <c r="F750" s="12"/>
      <c r="H750" s="12"/>
      <c r="N750" s="31"/>
      <c r="O750" s="31"/>
      <c r="P750" s="30"/>
      <c r="Q750" s="30"/>
      <c r="R750" s="30"/>
    </row>
    <row r="751" spans="6:18" s="1" customFormat="1" x14ac:dyDescent="0.3">
      <c r="F751" s="12"/>
      <c r="H751" s="12"/>
      <c r="N751" s="31"/>
      <c r="O751" s="31"/>
      <c r="P751" s="30"/>
      <c r="Q751" s="30"/>
      <c r="R751" s="30"/>
    </row>
    <row r="752" spans="6:18" s="1" customFormat="1" x14ac:dyDescent="0.3">
      <c r="F752" s="12"/>
      <c r="H752" s="12"/>
      <c r="N752" s="31"/>
      <c r="O752" s="31"/>
      <c r="P752" s="30"/>
      <c r="Q752" s="30"/>
      <c r="R752" s="30"/>
    </row>
    <row r="753" spans="6:18" s="1" customFormat="1" x14ac:dyDescent="0.3">
      <c r="F753" s="12"/>
      <c r="H753" s="12"/>
      <c r="N753" s="31"/>
      <c r="O753" s="31"/>
      <c r="P753" s="30"/>
      <c r="Q753" s="30"/>
      <c r="R753" s="30"/>
    </row>
    <row r="754" spans="6:18" s="1" customFormat="1" x14ac:dyDescent="0.3">
      <c r="F754" s="12"/>
      <c r="H754" s="12"/>
      <c r="N754" s="31"/>
      <c r="O754" s="31"/>
      <c r="P754" s="30"/>
      <c r="Q754" s="30"/>
      <c r="R754" s="30"/>
    </row>
    <row r="755" spans="6:18" s="1" customFormat="1" x14ac:dyDescent="0.3">
      <c r="F755" s="12"/>
      <c r="H755" s="12"/>
      <c r="N755" s="31"/>
      <c r="O755" s="31"/>
      <c r="P755" s="30"/>
      <c r="Q755" s="30"/>
      <c r="R755" s="30"/>
    </row>
    <row r="756" spans="6:18" s="1" customFormat="1" x14ac:dyDescent="0.3">
      <c r="F756" s="12"/>
      <c r="H756" s="12"/>
      <c r="N756" s="31"/>
      <c r="O756" s="31"/>
      <c r="P756" s="30"/>
      <c r="Q756" s="30"/>
      <c r="R756" s="30"/>
    </row>
    <row r="757" spans="6:18" s="1" customFormat="1" x14ac:dyDescent="0.3">
      <c r="F757" s="12"/>
      <c r="H757" s="12"/>
      <c r="N757" s="31"/>
      <c r="O757" s="31"/>
      <c r="P757" s="30"/>
      <c r="Q757" s="30"/>
      <c r="R757" s="30"/>
    </row>
    <row r="758" spans="6:18" s="1" customFormat="1" x14ac:dyDescent="0.3">
      <c r="F758" s="12"/>
      <c r="H758" s="12"/>
      <c r="N758" s="31"/>
      <c r="O758" s="31"/>
      <c r="P758" s="30"/>
      <c r="Q758" s="30"/>
      <c r="R758" s="30"/>
    </row>
    <row r="759" spans="6:18" s="1" customFormat="1" x14ac:dyDescent="0.3">
      <c r="F759" s="12"/>
      <c r="H759" s="12"/>
      <c r="N759" s="31"/>
      <c r="O759" s="31"/>
      <c r="P759" s="30"/>
      <c r="Q759" s="30"/>
      <c r="R759" s="30"/>
    </row>
    <row r="760" spans="6:18" s="1" customFormat="1" x14ac:dyDescent="0.3">
      <c r="F760" s="12"/>
      <c r="H760" s="12"/>
      <c r="N760" s="31"/>
      <c r="O760" s="31"/>
      <c r="P760" s="30"/>
      <c r="Q760" s="30"/>
      <c r="R760" s="30"/>
    </row>
    <row r="761" spans="6:18" s="1" customFormat="1" x14ac:dyDescent="0.3">
      <c r="F761" s="12"/>
      <c r="H761" s="12"/>
      <c r="N761" s="31"/>
      <c r="O761" s="31"/>
      <c r="P761" s="30"/>
      <c r="Q761" s="30"/>
      <c r="R761" s="30"/>
    </row>
    <row r="762" spans="6:18" s="1" customFormat="1" x14ac:dyDescent="0.3">
      <c r="F762" s="12"/>
      <c r="H762" s="12"/>
      <c r="N762" s="31"/>
      <c r="O762" s="31"/>
      <c r="P762" s="30"/>
      <c r="Q762" s="30"/>
      <c r="R762" s="30"/>
    </row>
    <row r="763" spans="6:18" s="1" customFormat="1" x14ac:dyDescent="0.3">
      <c r="F763" s="12"/>
      <c r="H763" s="12"/>
      <c r="N763" s="31"/>
      <c r="O763" s="31"/>
      <c r="P763" s="30"/>
      <c r="Q763" s="30"/>
      <c r="R763" s="30"/>
    </row>
    <row r="764" spans="6:18" s="1" customFormat="1" x14ac:dyDescent="0.3">
      <c r="F764" s="12"/>
      <c r="H764" s="12"/>
      <c r="N764" s="31"/>
      <c r="O764" s="31"/>
      <c r="P764" s="30"/>
      <c r="Q764" s="30"/>
      <c r="R764" s="30"/>
    </row>
    <row r="765" spans="6:18" s="1" customFormat="1" x14ac:dyDescent="0.3">
      <c r="F765" s="12"/>
      <c r="H765" s="12"/>
      <c r="N765" s="31"/>
      <c r="O765" s="31"/>
      <c r="P765" s="30"/>
      <c r="Q765" s="30"/>
      <c r="R765" s="30"/>
    </row>
    <row r="766" spans="6:18" s="1" customFormat="1" x14ac:dyDescent="0.3">
      <c r="F766" s="12"/>
      <c r="H766" s="12"/>
      <c r="N766" s="31"/>
      <c r="O766" s="31"/>
      <c r="P766" s="30"/>
      <c r="Q766" s="30"/>
      <c r="R766" s="30"/>
    </row>
    <row r="767" spans="6:18" s="1" customFormat="1" x14ac:dyDescent="0.3">
      <c r="F767" s="12"/>
      <c r="H767" s="12"/>
      <c r="N767" s="31"/>
      <c r="O767" s="31"/>
      <c r="P767" s="30"/>
      <c r="Q767" s="30"/>
      <c r="R767" s="30"/>
    </row>
    <row r="768" spans="6:18" s="1" customFormat="1" x14ac:dyDescent="0.3">
      <c r="F768" s="12"/>
      <c r="H768" s="12"/>
      <c r="N768" s="31"/>
      <c r="O768" s="31"/>
      <c r="P768" s="30"/>
      <c r="Q768" s="30"/>
      <c r="R768" s="30"/>
    </row>
    <row r="769" spans="6:18" s="1" customFormat="1" x14ac:dyDescent="0.3">
      <c r="F769" s="12"/>
      <c r="H769" s="12"/>
      <c r="N769" s="31"/>
      <c r="O769" s="31"/>
      <c r="P769" s="30"/>
      <c r="Q769" s="30"/>
      <c r="R769" s="30"/>
    </row>
    <row r="770" spans="6:18" s="1" customFormat="1" x14ac:dyDescent="0.3">
      <c r="F770" s="12"/>
      <c r="H770" s="12"/>
      <c r="N770" s="31"/>
      <c r="O770" s="31"/>
      <c r="P770" s="30"/>
      <c r="Q770" s="30"/>
      <c r="R770" s="30"/>
    </row>
    <row r="771" spans="6:18" s="1" customFormat="1" x14ac:dyDescent="0.3">
      <c r="F771" s="12"/>
      <c r="H771" s="12"/>
      <c r="N771" s="31"/>
      <c r="O771" s="31"/>
      <c r="P771" s="30"/>
      <c r="Q771" s="30"/>
      <c r="R771" s="30"/>
    </row>
    <row r="772" spans="6:18" s="1" customFormat="1" x14ac:dyDescent="0.3">
      <c r="F772" s="12"/>
      <c r="H772" s="12"/>
      <c r="N772" s="31"/>
      <c r="O772" s="31"/>
      <c r="P772" s="30"/>
      <c r="Q772" s="30"/>
      <c r="R772" s="30"/>
    </row>
    <row r="773" spans="6:18" s="1" customFormat="1" x14ac:dyDescent="0.3">
      <c r="F773" s="12"/>
      <c r="H773" s="12"/>
      <c r="N773" s="31"/>
      <c r="O773" s="31"/>
      <c r="P773" s="30"/>
      <c r="Q773" s="30"/>
      <c r="R773" s="30"/>
    </row>
    <row r="774" spans="6:18" s="1" customFormat="1" x14ac:dyDescent="0.3">
      <c r="F774" s="12"/>
      <c r="H774" s="12"/>
      <c r="N774" s="31"/>
      <c r="O774" s="31"/>
      <c r="P774" s="30"/>
      <c r="Q774" s="30"/>
      <c r="R774" s="30"/>
    </row>
    <row r="775" spans="6:18" s="1" customFormat="1" x14ac:dyDescent="0.3">
      <c r="F775" s="12"/>
      <c r="H775" s="12"/>
      <c r="N775" s="31"/>
      <c r="O775" s="31"/>
      <c r="P775" s="30"/>
      <c r="Q775" s="30"/>
      <c r="R775" s="30"/>
    </row>
    <row r="776" spans="6:18" s="1" customFormat="1" x14ac:dyDescent="0.3">
      <c r="F776" s="12"/>
      <c r="H776" s="12"/>
      <c r="N776" s="31"/>
      <c r="O776" s="31"/>
      <c r="P776" s="30"/>
      <c r="Q776" s="30"/>
      <c r="R776" s="30"/>
    </row>
    <row r="777" spans="6:18" s="1" customFormat="1" x14ac:dyDescent="0.3">
      <c r="F777" s="12"/>
      <c r="H777" s="12"/>
      <c r="N777" s="31"/>
      <c r="O777" s="31"/>
      <c r="P777" s="30"/>
      <c r="Q777" s="30"/>
      <c r="R777" s="30"/>
    </row>
    <row r="778" spans="6:18" s="1" customFormat="1" x14ac:dyDescent="0.3">
      <c r="F778" s="12"/>
      <c r="H778" s="12"/>
      <c r="N778" s="31"/>
      <c r="O778" s="31"/>
      <c r="P778" s="30"/>
      <c r="Q778" s="30"/>
      <c r="R778" s="30"/>
    </row>
    <row r="779" spans="6:18" s="1" customFormat="1" x14ac:dyDescent="0.3">
      <c r="F779" s="12"/>
      <c r="H779" s="12"/>
      <c r="N779" s="31"/>
      <c r="O779" s="31"/>
      <c r="P779" s="30"/>
      <c r="Q779" s="30"/>
      <c r="R779" s="30"/>
    </row>
    <row r="780" spans="6:18" s="1" customFormat="1" x14ac:dyDescent="0.3">
      <c r="F780" s="12"/>
      <c r="H780" s="12"/>
      <c r="N780" s="31"/>
      <c r="O780" s="31"/>
      <c r="P780" s="30"/>
      <c r="Q780" s="30"/>
      <c r="R780" s="30"/>
    </row>
    <row r="781" spans="6:18" s="1" customFormat="1" x14ac:dyDescent="0.3">
      <c r="F781" s="12"/>
      <c r="H781" s="12"/>
      <c r="N781" s="31"/>
      <c r="O781" s="31"/>
      <c r="P781" s="30"/>
      <c r="Q781" s="30"/>
      <c r="R781" s="30"/>
    </row>
    <row r="782" spans="6:18" s="1" customFormat="1" x14ac:dyDescent="0.3">
      <c r="F782" s="12"/>
      <c r="H782" s="12"/>
      <c r="N782" s="31"/>
      <c r="O782" s="31"/>
      <c r="P782" s="30"/>
      <c r="Q782" s="30"/>
      <c r="R782" s="30"/>
    </row>
    <row r="783" spans="6:18" s="1" customFormat="1" x14ac:dyDescent="0.3">
      <c r="F783" s="12"/>
      <c r="H783" s="12"/>
      <c r="N783" s="31"/>
      <c r="O783" s="31"/>
      <c r="P783" s="30"/>
      <c r="Q783" s="30"/>
      <c r="R783" s="30"/>
    </row>
    <row r="784" spans="6:18" s="1" customFormat="1" x14ac:dyDescent="0.3">
      <c r="F784" s="12"/>
      <c r="H784" s="12"/>
      <c r="N784" s="31"/>
      <c r="O784" s="31"/>
      <c r="P784" s="30"/>
      <c r="Q784" s="30"/>
      <c r="R784" s="30"/>
    </row>
    <row r="785" spans="6:18" s="1" customFormat="1" x14ac:dyDescent="0.3">
      <c r="F785" s="12"/>
      <c r="H785" s="12"/>
      <c r="N785" s="31"/>
      <c r="O785" s="31"/>
      <c r="P785" s="30"/>
      <c r="Q785" s="30"/>
      <c r="R785" s="30"/>
    </row>
    <row r="786" spans="6:18" s="1" customFormat="1" x14ac:dyDescent="0.3">
      <c r="F786" s="12"/>
      <c r="H786" s="12"/>
      <c r="N786" s="31"/>
      <c r="O786" s="31"/>
      <c r="P786" s="30"/>
      <c r="Q786" s="30"/>
      <c r="R786" s="30"/>
    </row>
    <row r="787" spans="6:18" s="1" customFormat="1" x14ac:dyDescent="0.3">
      <c r="F787" s="12"/>
      <c r="H787" s="12"/>
      <c r="N787" s="31"/>
      <c r="O787" s="31"/>
      <c r="P787" s="30"/>
      <c r="Q787" s="30"/>
      <c r="R787" s="30"/>
    </row>
    <row r="788" spans="6:18" s="1" customFormat="1" x14ac:dyDescent="0.3">
      <c r="F788" s="12"/>
      <c r="H788" s="12"/>
      <c r="N788" s="31"/>
      <c r="O788" s="31"/>
      <c r="P788" s="30"/>
      <c r="Q788" s="30"/>
      <c r="R788" s="30"/>
    </row>
    <row r="789" spans="6:18" s="1" customFormat="1" x14ac:dyDescent="0.3">
      <c r="F789" s="12"/>
      <c r="H789" s="12"/>
      <c r="N789" s="31"/>
      <c r="O789" s="31"/>
      <c r="P789" s="30"/>
      <c r="Q789" s="30"/>
      <c r="R789" s="30"/>
    </row>
    <row r="790" spans="6:18" s="1" customFormat="1" x14ac:dyDescent="0.3">
      <c r="F790" s="12"/>
      <c r="H790" s="12"/>
      <c r="N790" s="31"/>
      <c r="O790" s="31"/>
      <c r="P790" s="30"/>
      <c r="Q790" s="30"/>
      <c r="R790" s="30"/>
    </row>
    <row r="791" spans="6:18" s="1" customFormat="1" x14ac:dyDescent="0.3">
      <c r="F791" s="12"/>
      <c r="H791" s="12"/>
      <c r="N791" s="31"/>
      <c r="O791" s="31"/>
      <c r="P791" s="30"/>
      <c r="Q791" s="30"/>
      <c r="R791" s="30"/>
    </row>
    <row r="792" spans="6:18" s="1" customFormat="1" x14ac:dyDescent="0.3">
      <c r="F792" s="12"/>
      <c r="H792" s="12"/>
      <c r="N792" s="31"/>
      <c r="O792" s="31"/>
      <c r="P792" s="30"/>
      <c r="Q792" s="30"/>
      <c r="R792" s="30"/>
    </row>
    <row r="793" spans="6:18" s="1" customFormat="1" x14ac:dyDescent="0.3">
      <c r="F793" s="12"/>
      <c r="H793" s="12"/>
      <c r="N793" s="31"/>
      <c r="O793" s="31"/>
      <c r="P793" s="30"/>
      <c r="Q793" s="30"/>
      <c r="R793" s="30"/>
    </row>
    <row r="794" spans="6:18" s="1" customFormat="1" x14ac:dyDescent="0.3">
      <c r="F794" s="12"/>
      <c r="H794" s="12"/>
      <c r="N794" s="31"/>
      <c r="O794" s="31"/>
      <c r="P794" s="30"/>
      <c r="Q794" s="30"/>
      <c r="R794" s="30"/>
    </row>
    <row r="795" spans="6:18" s="1" customFormat="1" x14ac:dyDescent="0.3">
      <c r="F795" s="12"/>
      <c r="H795" s="12"/>
      <c r="N795" s="31"/>
      <c r="O795" s="31"/>
      <c r="P795" s="30"/>
      <c r="Q795" s="30"/>
      <c r="R795" s="30"/>
    </row>
    <row r="796" spans="6:18" s="1" customFormat="1" x14ac:dyDescent="0.3">
      <c r="F796" s="12"/>
      <c r="H796" s="12"/>
      <c r="N796" s="31"/>
      <c r="O796" s="31"/>
      <c r="P796" s="30"/>
      <c r="Q796" s="30"/>
      <c r="R796" s="30"/>
    </row>
    <row r="797" spans="6:18" s="1" customFormat="1" x14ac:dyDescent="0.3">
      <c r="F797" s="12"/>
      <c r="H797" s="12"/>
      <c r="N797" s="31"/>
      <c r="O797" s="31"/>
      <c r="P797" s="30"/>
      <c r="Q797" s="30"/>
      <c r="R797" s="30"/>
    </row>
    <row r="798" spans="6:18" s="1" customFormat="1" x14ac:dyDescent="0.3">
      <c r="F798" s="12"/>
      <c r="H798" s="12"/>
      <c r="N798" s="31"/>
      <c r="O798" s="31"/>
      <c r="P798" s="30"/>
      <c r="Q798" s="30"/>
      <c r="R798" s="30"/>
    </row>
    <row r="799" spans="6:18" s="1" customFormat="1" x14ac:dyDescent="0.3">
      <c r="F799" s="12"/>
      <c r="H799" s="12"/>
      <c r="N799" s="31"/>
      <c r="O799" s="31"/>
      <c r="P799" s="30"/>
      <c r="Q799" s="30"/>
      <c r="R799" s="30"/>
    </row>
    <row r="800" spans="6:18" s="1" customFormat="1" x14ac:dyDescent="0.3">
      <c r="F800" s="12"/>
      <c r="H800" s="12"/>
      <c r="N800" s="31"/>
      <c r="O800" s="31"/>
      <c r="P800" s="30"/>
      <c r="Q800" s="30"/>
      <c r="R800" s="30"/>
    </row>
    <row r="801" spans="6:18" s="1" customFormat="1" x14ac:dyDescent="0.3">
      <c r="F801" s="12"/>
      <c r="H801" s="12"/>
      <c r="N801" s="31"/>
      <c r="O801" s="31"/>
      <c r="P801" s="30"/>
      <c r="Q801" s="30"/>
      <c r="R801" s="30"/>
    </row>
    <row r="802" spans="6:18" s="1" customFormat="1" x14ac:dyDescent="0.3">
      <c r="F802" s="12"/>
      <c r="H802" s="12"/>
      <c r="N802" s="31"/>
      <c r="O802" s="31"/>
      <c r="P802" s="30"/>
      <c r="Q802" s="30"/>
      <c r="R802" s="30"/>
    </row>
    <row r="803" spans="6:18" s="1" customFormat="1" x14ac:dyDescent="0.3">
      <c r="F803" s="12"/>
      <c r="H803" s="12"/>
      <c r="N803" s="31"/>
      <c r="O803" s="31"/>
      <c r="P803" s="30"/>
      <c r="Q803" s="30"/>
      <c r="R803" s="30"/>
    </row>
    <row r="804" spans="6:18" s="1" customFormat="1" x14ac:dyDescent="0.3">
      <c r="F804" s="12"/>
      <c r="H804" s="12"/>
      <c r="N804" s="31"/>
      <c r="O804" s="31"/>
      <c r="P804" s="30"/>
      <c r="Q804" s="30"/>
      <c r="R804" s="30"/>
    </row>
    <row r="805" spans="6:18" s="1" customFormat="1" x14ac:dyDescent="0.3">
      <c r="F805" s="12"/>
      <c r="H805" s="12"/>
      <c r="N805" s="31"/>
      <c r="O805" s="31"/>
      <c r="P805" s="30"/>
      <c r="Q805" s="30"/>
      <c r="R805" s="30"/>
    </row>
    <row r="806" spans="6:18" s="1" customFormat="1" x14ac:dyDescent="0.3">
      <c r="F806" s="12"/>
      <c r="H806" s="12"/>
      <c r="N806" s="31"/>
      <c r="O806" s="31"/>
      <c r="P806" s="30"/>
      <c r="Q806" s="30"/>
      <c r="R806" s="30"/>
    </row>
    <row r="807" spans="6:18" s="1" customFormat="1" x14ac:dyDescent="0.3">
      <c r="F807" s="12"/>
      <c r="H807" s="12"/>
      <c r="N807" s="31"/>
      <c r="O807" s="31"/>
      <c r="P807" s="30"/>
      <c r="Q807" s="30"/>
      <c r="R807" s="30"/>
    </row>
    <row r="808" spans="6:18" s="1" customFormat="1" x14ac:dyDescent="0.3">
      <c r="F808" s="12"/>
      <c r="H808" s="12"/>
      <c r="N808" s="31"/>
      <c r="O808" s="31"/>
      <c r="P808" s="30"/>
      <c r="Q808" s="30"/>
      <c r="R808" s="30"/>
    </row>
    <row r="809" spans="6:18" s="1" customFormat="1" x14ac:dyDescent="0.3">
      <c r="F809" s="12"/>
      <c r="H809" s="12"/>
      <c r="N809" s="31"/>
      <c r="O809" s="31"/>
      <c r="P809" s="30"/>
      <c r="Q809" s="30"/>
      <c r="R809" s="30"/>
    </row>
    <row r="810" spans="6:18" s="1" customFormat="1" x14ac:dyDescent="0.3">
      <c r="F810" s="12"/>
      <c r="H810" s="12"/>
      <c r="N810" s="31"/>
      <c r="O810" s="31"/>
      <c r="P810" s="30"/>
      <c r="Q810" s="30"/>
      <c r="R810" s="30"/>
    </row>
    <row r="811" spans="6:18" s="1" customFormat="1" x14ac:dyDescent="0.3">
      <c r="F811" s="12"/>
      <c r="H811" s="12"/>
      <c r="N811" s="31"/>
      <c r="O811" s="31"/>
      <c r="P811" s="30"/>
      <c r="Q811" s="30"/>
      <c r="R811" s="30"/>
    </row>
    <row r="812" spans="6:18" s="1" customFormat="1" x14ac:dyDescent="0.3">
      <c r="F812" s="12"/>
      <c r="H812" s="12"/>
      <c r="N812" s="31"/>
      <c r="O812" s="31"/>
      <c r="P812" s="30"/>
      <c r="Q812" s="30"/>
      <c r="R812" s="30"/>
    </row>
    <row r="813" spans="6:18" s="1" customFormat="1" x14ac:dyDescent="0.3">
      <c r="F813" s="12"/>
      <c r="H813" s="12"/>
      <c r="N813" s="31"/>
      <c r="O813" s="31"/>
      <c r="P813" s="30"/>
      <c r="Q813" s="30"/>
      <c r="R813" s="30"/>
    </row>
    <row r="814" spans="6:18" s="1" customFormat="1" x14ac:dyDescent="0.3">
      <c r="F814" s="12"/>
      <c r="H814" s="12"/>
      <c r="N814" s="31"/>
      <c r="O814" s="31"/>
      <c r="P814" s="30"/>
      <c r="Q814" s="30"/>
      <c r="R814" s="30"/>
    </row>
    <row r="815" spans="6:18" s="1" customFormat="1" x14ac:dyDescent="0.3">
      <c r="F815" s="12"/>
      <c r="H815" s="12"/>
      <c r="N815" s="31"/>
      <c r="O815" s="31"/>
      <c r="P815" s="30"/>
      <c r="Q815" s="30"/>
      <c r="R815" s="30"/>
    </row>
    <row r="816" spans="6:18" s="1" customFormat="1" x14ac:dyDescent="0.3">
      <c r="F816" s="12"/>
      <c r="H816" s="12"/>
      <c r="N816" s="31"/>
      <c r="O816" s="31"/>
      <c r="P816" s="30"/>
      <c r="Q816" s="30"/>
      <c r="R816" s="30"/>
    </row>
    <row r="817" spans="6:18" s="1" customFormat="1" x14ac:dyDescent="0.3">
      <c r="F817" s="12"/>
      <c r="H817" s="12"/>
      <c r="N817" s="31"/>
      <c r="O817" s="31"/>
      <c r="P817" s="30"/>
      <c r="Q817" s="30"/>
      <c r="R817" s="30"/>
    </row>
    <row r="818" spans="6:18" s="1" customFormat="1" x14ac:dyDescent="0.3">
      <c r="F818" s="12"/>
      <c r="H818" s="12"/>
      <c r="N818" s="31"/>
      <c r="O818" s="31"/>
      <c r="P818" s="30"/>
      <c r="Q818" s="30"/>
      <c r="R818" s="30"/>
    </row>
    <row r="819" spans="6:18" s="1" customFormat="1" x14ac:dyDescent="0.3">
      <c r="F819" s="12"/>
      <c r="H819" s="12"/>
      <c r="N819" s="31"/>
      <c r="O819" s="31"/>
      <c r="P819" s="30"/>
      <c r="Q819" s="30"/>
      <c r="R819" s="30"/>
    </row>
    <row r="820" spans="6:18" s="1" customFormat="1" x14ac:dyDescent="0.3">
      <c r="F820" s="12"/>
      <c r="H820" s="12"/>
      <c r="N820" s="31"/>
      <c r="O820" s="31"/>
      <c r="P820" s="30"/>
      <c r="Q820" s="30"/>
      <c r="R820" s="30"/>
    </row>
    <row r="821" spans="6:18" s="1" customFormat="1" x14ac:dyDescent="0.3">
      <c r="F821" s="12"/>
      <c r="H821" s="12"/>
      <c r="N821" s="31"/>
      <c r="O821" s="31"/>
      <c r="P821" s="30"/>
      <c r="Q821" s="30"/>
      <c r="R821" s="30"/>
    </row>
    <row r="822" spans="6:18" s="1" customFormat="1" x14ac:dyDescent="0.3">
      <c r="F822" s="12"/>
      <c r="H822" s="12"/>
      <c r="N822" s="31"/>
      <c r="O822" s="31"/>
      <c r="P822" s="30"/>
      <c r="Q822" s="30"/>
      <c r="R822" s="30"/>
    </row>
    <row r="823" spans="6:18" s="1" customFormat="1" x14ac:dyDescent="0.3">
      <c r="F823" s="12"/>
      <c r="H823" s="12"/>
      <c r="N823" s="31"/>
      <c r="O823" s="31"/>
      <c r="P823" s="30"/>
      <c r="Q823" s="30"/>
      <c r="R823" s="30"/>
    </row>
    <row r="824" spans="6:18" s="1" customFormat="1" x14ac:dyDescent="0.3">
      <c r="F824" s="12"/>
      <c r="H824" s="12"/>
      <c r="N824" s="31"/>
      <c r="O824" s="31"/>
      <c r="P824" s="30"/>
      <c r="Q824" s="30"/>
      <c r="R824" s="30"/>
    </row>
    <row r="825" spans="6:18" s="1" customFormat="1" x14ac:dyDescent="0.3">
      <c r="F825" s="12"/>
      <c r="H825" s="12"/>
      <c r="N825" s="31"/>
      <c r="O825" s="31"/>
      <c r="P825" s="30"/>
      <c r="Q825" s="30"/>
      <c r="R825" s="30"/>
    </row>
    <row r="826" spans="6:18" s="1" customFormat="1" x14ac:dyDescent="0.3">
      <c r="F826" s="12"/>
      <c r="H826" s="12"/>
      <c r="N826" s="31"/>
      <c r="O826" s="31"/>
      <c r="P826" s="30"/>
      <c r="Q826" s="30"/>
      <c r="R826" s="30"/>
    </row>
    <row r="827" spans="6:18" s="1" customFormat="1" x14ac:dyDescent="0.3">
      <c r="F827" s="12"/>
      <c r="H827" s="12"/>
      <c r="N827" s="31"/>
      <c r="O827" s="31"/>
      <c r="P827" s="30"/>
      <c r="Q827" s="30"/>
      <c r="R827" s="30"/>
    </row>
    <row r="828" spans="6:18" s="1" customFormat="1" x14ac:dyDescent="0.3">
      <c r="F828" s="12"/>
      <c r="H828" s="12"/>
      <c r="N828" s="31"/>
      <c r="O828" s="31"/>
      <c r="P828" s="30"/>
      <c r="Q828" s="30"/>
      <c r="R828" s="30"/>
    </row>
    <row r="829" spans="6:18" s="1" customFormat="1" x14ac:dyDescent="0.3">
      <c r="F829" s="12"/>
      <c r="H829" s="12"/>
      <c r="N829" s="31"/>
      <c r="O829" s="31"/>
      <c r="P829" s="30"/>
      <c r="Q829" s="30"/>
      <c r="R829" s="30"/>
    </row>
    <row r="830" spans="6:18" s="1" customFormat="1" x14ac:dyDescent="0.3">
      <c r="F830" s="12"/>
      <c r="H830" s="12"/>
      <c r="N830" s="31"/>
      <c r="O830" s="31"/>
      <c r="P830" s="30"/>
      <c r="Q830" s="30"/>
      <c r="R830" s="30"/>
    </row>
    <row r="831" spans="6:18" s="1" customFormat="1" x14ac:dyDescent="0.3">
      <c r="F831" s="12"/>
      <c r="H831" s="12"/>
      <c r="N831" s="31"/>
      <c r="O831" s="31"/>
      <c r="P831" s="30"/>
      <c r="Q831" s="30"/>
      <c r="R831" s="30"/>
    </row>
    <row r="832" spans="6:18" s="1" customFormat="1" x14ac:dyDescent="0.3">
      <c r="F832" s="12"/>
      <c r="H832" s="12"/>
      <c r="N832" s="31"/>
      <c r="O832" s="31"/>
      <c r="P832" s="30"/>
      <c r="Q832" s="30"/>
      <c r="R832" s="30"/>
    </row>
    <row r="833" spans="6:18" s="1" customFormat="1" x14ac:dyDescent="0.3">
      <c r="F833" s="12"/>
      <c r="H833" s="12"/>
      <c r="N833" s="31"/>
      <c r="O833" s="31"/>
      <c r="P833" s="30"/>
      <c r="Q833" s="30"/>
      <c r="R833" s="30"/>
    </row>
    <row r="834" spans="6:18" s="1" customFormat="1" x14ac:dyDescent="0.3">
      <c r="F834" s="12"/>
      <c r="H834" s="12"/>
      <c r="N834" s="31"/>
      <c r="O834" s="31"/>
      <c r="P834" s="30"/>
      <c r="Q834" s="30"/>
      <c r="R834" s="30"/>
    </row>
    <row r="835" spans="6:18" s="1" customFormat="1" x14ac:dyDescent="0.3">
      <c r="F835" s="12"/>
      <c r="H835" s="12"/>
      <c r="N835" s="31"/>
      <c r="O835" s="31"/>
      <c r="P835" s="30"/>
      <c r="Q835" s="30"/>
      <c r="R835" s="30"/>
    </row>
    <row r="836" spans="6:18" s="1" customFormat="1" x14ac:dyDescent="0.3">
      <c r="F836" s="12"/>
      <c r="H836" s="12"/>
      <c r="N836" s="31"/>
      <c r="O836" s="31"/>
      <c r="P836" s="30"/>
      <c r="Q836" s="30"/>
      <c r="R836" s="30"/>
    </row>
    <row r="837" spans="6:18" s="1" customFormat="1" x14ac:dyDescent="0.3">
      <c r="F837" s="12"/>
      <c r="H837" s="12"/>
      <c r="N837" s="31"/>
      <c r="O837" s="31"/>
      <c r="P837" s="30"/>
      <c r="Q837" s="30"/>
      <c r="R837" s="30"/>
    </row>
    <row r="838" spans="6:18" s="1" customFormat="1" x14ac:dyDescent="0.3">
      <c r="F838" s="12"/>
      <c r="H838" s="12"/>
      <c r="N838" s="31"/>
      <c r="O838" s="31"/>
      <c r="P838" s="30"/>
      <c r="Q838" s="30"/>
      <c r="R838" s="30"/>
    </row>
    <row r="839" spans="6:18" s="1" customFormat="1" x14ac:dyDescent="0.3">
      <c r="F839" s="12"/>
      <c r="H839" s="12"/>
      <c r="N839" s="31"/>
      <c r="O839" s="31"/>
      <c r="P839" s="30"/>
      <c r="Q839" s="30"/>
      <c r="R839" s="30"/>
    </row>
    <row r="840" spans="6:18" s="1" customFormat="1" x14ac:dyDescent="0.3">
      <c r="F840" s="12"/>
      <c r="H840" s="12"/>
      <c r="N840" s="31"/>
      <c r="O840" s="31"/>
      <c r="P840" s="30"/>
      <c r="Q840" s="30"/>
      <c r="R840" s="30"/>
    </row>
    <row r="841" spans="6:18" s="1" customFormat="1" x14ac:dyDescent="0.3">
      <c r="F841" s="12"/>
      <c r="H841" s="12"/>
      <c r="N841" s="31"/>
      <c r="O841" s="31"/>
      <c r="P841" s="30"/>
      <c r="Q841" s="30"/>
      <c r="R841" s="30"/>
    </row>
    <row r="842" spans="6:18" s="1" customFormat="1" x14ac:dyDescent="0.3">
      <c r="F842" s="12"/>
      <c r="H842" s="12"/>
      <c r="N842" s="31"/>
      <c r="O842" s="31"/>
      <c r="P842" s="30"/>
      <c r="Q842" s="30"/>
      <c r="R842" s="30"/>
    </row>
    <row r="843" spans="6:18" s="1" customFormat="1" x14ac:dyDescent="0.3">
      <c r="F843" s="12"/>
      <c r="H843" s="12"/>
      <c r="N843" s="31"/>
      <c r="O843" s="31"/>
      <c r="P843" s="30"/>
      <c r="Q843" s="30"/>
      <c r="R843" s="30"/>
    </row>
    <row r="844" spans="6:18" s="1" customFormat="1" x14ac:dyDescent="0.3">
      <c r="F844" s="12"/>
      <c r="H844" s="12"/>
      <c r="N844" s="31"/>
      <c r="O844" s="31"/>
      <c r="P844" s="30"/>
      <c r="Q844" s="30"/>
      <c r="R844" s="30"/>
    </row>
    <row r="845" spans="6:18" s="1" customFormat="1" x14ac:dyDescent="0.3">
      <c r="F845" s="12"/>
      <c r="H845" s="12"/>
      <c r="N845" s="31"/>
      <c r="O845" s="31"/>
      <c r="P845" s="30"/>
      <c r="Q845" s="30"/>
      <c r="R845" s="30"/>
    </row>
    <row r="846" spans="6:18" s="1" customFormat="1" x14ac:dyDescent="0.3">
      <c r="F846" s="12"/>
      <c r="H846" s="12"/>
      <c r="N846" s="31"/>
      <c r="O846" s="31"/>
      <c r="P846" s="30"/>
      <c r="Q846" s="30"/>
      <c r="R846" s="30"/>
    </row>
    <row r="847" spans="6:18" s="1" customFormat="1" x14ac:dyDescent="0.3">
      <c r="F847" s="12"/>
      <c r="H847" s="12"/>
      <c r="N847" s="31"/>
      <c r="O847" s="31"/>
      <c r="P847" s="30"/>
      <c r="Q847" s="30"/>
      <c r="R847" s="30"/>
    </row>
    <row r="848" spans="6:18" s="1" customFormat="1" x14ac:dyDescent="0.3">
      <c r="F848" s="12"/>
      <c r="H848" s="12"/>
      <c r="N848" s="31"/>
      <c r="O848" s="31"/>
      <c r="P848" s="30"/>
      <c r="Q848" s="30"/>
      <c r="R848" s="30"/>
    </row>
    <row r="849" spans="6:18" s="1" customFormat="1" x14ac:dyDescent="0.3">
      <c r="F849" s="12"/>
      <c r="H849" s="12"/>
      <c r="N849" s="31"/>
      <c r="O849" s="31"/>
      <c r="P849" s="30"/>
      <c r="Q849" s="30"/>
      <c r="R849" s="30"/>
    </row>
    <row r="850" spans="6:18" s="1" customFormat="1" x14ac:dyDescent="0.3">
      <c r="F850" s="12"/>
      <c r="H850" s="12"/>
      <c r="N850" s="31"/>
      <c r="O850" s="31"/>
      <c r="P850" s="30"/>
      <c r="Q850" s="30"/>
      <c r="R850" s="30"/>
    </row>
    <row r="851" spans="6:18" s="1" customFormat="1" x14ac:dyDescent="0.3">
      <c r="F851" s="12"/>
      <c r="H851" s="12"/>
      <c r="N851" s="31"/>
      <c r="O851" s="31"/>
      <c r="P851" s="30"/>
      <c r="Q851" s="30"/>
      <c r="R851" s="30"/>
    </row>
    <row r="852" spans="6:18" s="1" customFormat="1" x14ac:dyDescent="0.3">
      <c r="F852" s="12"/>
      <c r="H852" s="12"/>
      <c r="N852" s="31"/>
      <c r="O852" s="31"/>
      <c r="P852" s="30"/>
      <c r="Q852" s="30"/>
      <c r="R852" s="30"/>
    </row>
    <row r="853" spans="6:18" s="1" customFormat="1" x14ac:dyDescent="0.3">
      <c r="F853" s="12"/>
      <c r="H853" s="12"/>
      <c r="N853" s="31"/>
      <c r="O853" s="31"/>
      <c r="P853" s="30"/>
      <c r="Q853" s="30"/>
      <c r="R853" s="30"/>
    </row>
    <row r="854" spans="6:18" s="1" customFormat="1" x14ac:dyDescent="0.3">
      <c r="F854" s="12"/>
      <c r="H854" s="12"/>
      <c r="N854" s="31"/>
      <c r="O854" s="31"/>
      <c r="P854" s="30"/>
      <c r="Q854" s="30"/>
      <c r="R854" s="30"/>
    </row>
    <row r="855" spans="6:18" s="1" customFormat="1" x14ac:dyDescent="0.3">
      <c r="F855" s="12"/>
      <c r="H855" s="12"/>
      <c r="N855" s="31"/>
      <c r="O855" s="31"/>
      <c r="P855" s="30"/>
      <c r="Q855" s="30"/>
      <c r="R855" s="30"/>
    </row>
    <row r="856" spans="6:18" s="1" customFormat="1" x14ac:dyDescent="0.3">
      <c r="F856" s="12"/>
      <c r="H856" s="12"/>
      <c r="N856" s="31"/>
      <c r="O856" s="31"/>
      <c r="P856" s="30"/>
      <c r="Q856" s="30"/>
      <c r="R856" s="30"/>
    </row>
    <row r="857" spans="6:18" s="1" customFormat="1" x14ac:dyDescent="0.3">
      <c r="F857" s="12"/>
      <c r="H857" s="12"/>
      <c r="N857" s="31"/>
      <c r="O857" s="31"/>
      <c r="P857" s="30"/>
      <c r="Q857" s="30"/>
      <c r="R857" s="30"/>
    </row>
    <row r="858" spans="6:18" s="1" customFormat="1" x14ac:dyDescent="0.3">
      <c r="F858" s="12"/>
      <c r="H858" s="12"/>
      <c r="N858" s="31"/>
      <c r="O858" s="31"/>
      <c r="P858" s="30"/>
      <c r="Q858" s="30"/>
      <c r="R858" s="30"/>
    </row>
    <row r="859" spans="6:18" s="1" customFormat="1" x14ac:dyDescent="0.3">
      <c r="F859" s="12"/>
      <c r="H859" s="12"/>
      <c r="N859" s="31"/>
      <c r="O859" s="31"/>
      <c r="P859" s="30"/>
      <c r="Q859" s="30"/>
      <c r="R859" s="30"/>
    </row>
    <row r="860" spans="6:18" s="1" customFormat="1" x14ac:dyDescent="0.3">
      <c r="F860" s="12"/>
      <c r="H860" s="12"/>
      <c r="N860" s="31"/>
      <c r="O860" s="31"/>
      <c r="P860" s="30"/>
      <c r="Q860" s="30"/>
      <c r="R860" s="30"/>
    </row>
    <row r="861" spans="6:18" s="1" customFormat="1" x14ac:dyDescent="0.3">
      <c r="F861" s="12"/>
      <c r="H861" s="12"/>
      <c r="N861" s="31"/>
      <c r="O861" s="31"/>
      <c r="P861" s="30"/>
      <c r="Q861" s="30"/>
      <c r="R861" s="30"/>
    </row>
    <row r="862" spans="6:18" s="1" customFormat="1" x14ac:dyDescent="0.3">
      <c r="F862" s="12"/>
      <c r="H862" s="12"/>
      <c r="N862" s="31"/>
      <c r="O862" s="31"/>
      <c r="P862" s="30"/>
      <c r="Q862" s="30"/>
      <c r="R862" s="30"/>
    </row>
    <row r="863" spans="6:18" s="1" customFormat="1" x14ac:dyDescent="0.3">
      <c r="F863" s="12"/>
      <c r="H863" s="12"/>
      <c r="N863" s="31"/>
      <c r="O863" s="31"/>
      <c r="P863" s="30"/>
      <c r="Q863" s="30"/>
      <c r="R863" s="30"/>
    </row>
    <row r="864" spans="6:18" s="1" customFormat="1" x14ac:dyDescent="0.3">
      <c r="F864" s="12"/>
      <c r="H864" s="12"/>
      <c r="N864" s="31"/>
      <c r="O864" s="31"/>
      <c r="P864" s="30"/>
      <c r="Q864" s="30"/>
      <c r="R864" s="30"/>
    </row>
    <row r="865" spans="6:18" s="1" customFormat="1" x14ac:dyDescent="0.3">
      <c r="F865" s="12"/>
      <c r="H865" s="12"/>
      <c r="N865" s="31"/>
      <c r="O865" s="31"/>
      <c r="P865" s="30"/>
      <c r="Q865" s="30"/>
      <c r="R865" s="30"/>
    </row>
    <row r="866" spans="6:18" s="1" customFormat="1" x14ac:dyDescent="0.3">
      <c r="F866" s="12"/>
      <c r="H866" s="12"/>
      <c r="N866" s="31"/>
      <c r="O866" s="31"/>
      <c r="P866" s="30"/>
      <c r="Q866" s="30"/>
      <c r="R866" s="30"/>
    </row>
    <row r="867" spans="6:18" s="1" customFormat="1" x14ac:dyDescent="0.3">
      <c r="F867" s="12"/>
      <c r="H867" s="12"/>
      <c r="N867" s="31"/>
      <c r="O867" s="31"/>
      <c r="P867" s="30"/>
      <c r="Q867" s="30"/>
      <c r="R867" s="30"/>
    </row>
    <row r="868" spans="6:18" s="1" customFormat="1" x14ac:dyDescent="0.3">
      <c r="F868" s="12"/>
      <c r="H868" s="12"/>
      <c r="N868" s="31"/>
      <c r="O868" s="31"/>
      <c r="P868" s="30"/>
      <c r="Q868" s="30"/>
      <c r="R868" s="30"/>
    </row>
    <row r="869" spans="6:18" s="1" customFormat="1" x14ac:dyDescent="0.3">
      <c r="F869" s="12"/>
      <c r="H869" s="12"/>
      <c r="N869" s="31"/>
      <c r="O869" s="31"/>
      <c r="P869" s="30"/>
      <c r="Q869" s="30"/>
      <c r="R869" s="30"/>
    </row>
    <row r="870" spans="6:18" s="1" customFormat="1" x14ac:dyDescent="0.3">
      <c r="F870" s="12"/>
      <c r="H870" s="12"/>
      <c r="N870" s="31"/>
      <c r="O870" s="31"/>
      <c r="P870" s="30"/>
      <c r="Q870" s="30"/>
      <c r="R870" s="30"/>
    </row>
    <row r="871" spans="6:18" s="1" customFormat="1" x14ac:dyDescent="0.3">
      <c r="F871" s="12"/>
      <c r="H871" s="12"/>
      <c r="N871" s="31"/>
      <c r="O871" s="31"/>
      <c r="P871" s="30"/>
      <c r="Q871" s="30"/>
      <c r="R871" s="30"/>
    </row>
    <row r="872" spans="6:18" s="1" customFormat="1" x14ac:dyDescent="0.3">
      <c r="F872" s="12"/>
      <c r="H872" s="12"/>
      <c r="N872" s="31"/>
      <c r="O872" s="31"/>
      <c r="P872" s="30"/>
      <c r="Q872" s="30"/>
      <c r="R872" s="30"/>
    </row>
    <row r="873" spans="6:18" s="1" customFormat="1" x14ac:dyDescent="0.3">
      <c r="F873" s="12"/>
      <c r="H873" s="12"/>
      <c r="N873" s="31"/>
      <c r="O873" s="31"/>
      <c r="P873" s="30"/>
      <c r="Q873" s="30"/>
      <c r="R873" s="30"/>
    </row>
    <row r="874" spans="6:18" s="1" customFormat="1" x14ac:dyDescent="0.3">
      <c r="F874" s="12"/>
      <c r="H874" s="12"/>
      <c r="N874" s="31"/>
      <c r="O874" s="31"/>
      <c r="P874" s="30"/>
      <c r="Q874" s="30"/>
      <c r="R874" s="30"/>
    </row>
    <row r="875" spans="6:18" s="1" customFormat="1" x14ac:dyDescent="0.3">
      <c r="F875" s="12"/>
      <c r="H875" s="12"/>
      <c r="N875" s="31"/>
      <c r="O875" s="31"/>
      <c r="P875" s="30"/>
      <c r="Q875" s="30"/>
      <c r="R875" s="30"/>
    </row>
    <row r="876" spans="6:18" s="1" customFormat="1" x14ac:dyDescent="0.3">
      <c r="F876" s="12"/>
      <c r="H876" s="12"/>
      <c r="N876" s="31"/>
      <c r="O876" s="31"/>
      <c r="P876" s="30"/>
      <c r="Q876" s="30"/>
      <c r="R876" s="30"/>
    </row>
    <row r="877" spans="6:18" s="1" customFormat="1" x14ac:dyDescent="0.3">
      <c r="F877" s="12"/>
      <c r="H877" s="12"/>
      <c r="N877" s="31"/>
      <c r="O877" s="31"/>
      <c r="P877" s="30"/>
      <c r="Q877" s="30"/>
      <c r="R877" s="30"/>
    </row>
    <row r="878" spans="6:18" s="1" customFormat="1" x14ac:dyDescent="0.3">
      <c r="F878" s="12"/>
      <c r="H878" s="12"/>
      <c r="N878" s="31"/>
      <c r="O878" s="31"/>
      <c r="P878" s="30"/>
      <c r="Q878" s="30"/>
      <c r="R878" s="30"/>
    </row>
    <row r="879" spans="6:18" s="1" customFormat="1" x14ac:dyDescent="0.3">
      <c r="F879" s="12"/>
      <c r="H879" s="12"/>
      <c r="N879" s="31"/>
      <c r="O879" s="31"/>
      <c r="P879" s="30"/>
      <c r="Q879" s="30"/>
      <c r="R879" s="30"/>
    </row>
    <row r="880" spans="6:18" s="1" customFormat="1" x14ac:dyDescent="0.3">
      <c r="F880" s="12"/>
      <c r="H880" s="12"/>
      <c r="N880" s="31"/>
      <c r="O880" s="31"/>
      <c r="P880" s="30"/>
      <c r="Q880" s="30"/>
      <c r="R880" s="30"/>
    </row>
    <row r="881" spans="6:18" s="1" customFormat="1" x14ac:dyDescent="0.3">
      <c r="F881" s="12"/>
      <c r="H881" s="12"/>
      <c r="N881" s="31"/>
      <c r="O881" s="31"/>
      <c r="P881" s="30"/>
      <c r="Q881" s="30"/>
      <c r="R881" s="30"/>
    </row>
    <row r="882" spans="6:18" s="1" customFormat="1" x14ac:dyDescent="0.3">
      <c r="F882" s="12"/>
      <c r="H882" s="12"/>
      <c r="N882" s="31"/>
      <c r="O882" s="31"/>
      <c r="P882" s="30"/>
      <c r="Q882" s="30"/>
      <c r="R882" s="30"/>
    </row>
    <row r="883" spans="6:18" s="1" customFormat="1" x14ac:dyDescent="0.3">
      <c r="F883" s="12"/>
      <c r="H883" s="12"/>
      <c r="N883" s="31"/>
      <c r="O883" s="31"/>
      <c r="P883" s="30"/>
      <c r="Q883" s="30"/>
      <c r="R883" s="30"/>
    </row>
    <row r="884" spans="6:18" s="1" customFormat="1" x14ac:dyDescent="0.3">
      <c r="F884" s="12"/>
      <c r="H884" s="12"/>
      <c r="N884" s="31"/>
      <c r="O884" s="31"/>
      <c r="P884" s="30"/>
      <c r="Q884" s="30"/>
      <c r="R884" s="30"/>
    </row>
    <row r="885" spans="6:18" s="1" customFormat="1" x14ac:dyDescent="0.3">
      <c r="F885" s="12"/>
      <c r="H885" s="12"/>
      <c r="N885" s="31"/>
      <c r="O885" s="31"/>
      <c r="P885" s="30"/>
      <c r="Q885" s="30"/>
      <c r="R885" s="30"/>
    </row>
    <row r="886" spans="6:18" s="1" customFormat="1" x14ac:dyDescent="0.3">
      <c r="F886" s="12"/>
      <c r="H886" s="12"/>
      <c r="N886" s="31"/>
      <c r="O886" s="31"/>
      <c r="P886" s="30"/>
      <c r="Q886" s="30"/>
      <c r="R886" s="30"/>
    </row>
    <row r="887" spans="6:18" s="1" customFormat="1" x14ac:dyDescent="0.3">
      <c r="F887" s="12"/>
      <c r="H887" s="12"/>
      <c r="N887" s="31"/>
      <c r="O887" s="31"/>
      <c r="P887" s="30"/>
      <c r="Q887" s="30"/>
      <c r="R887" s="30"/>
    </row>
    <row r="888" spans="6:18" s="1" customFormat="1" x14ac:dyDescent="0.3">
      <c r="F888" s="12"/>
      <c r="H888" s="12"/>
      <c r="N888" s="31"/>
      <c r="O888" s="31"/>
      <c r="P888" s="30"/>
      <c r="Q888" s="30"/>
      <c r="R888" s="30"/>
    </row>
    <row r="889" spans="6:18" s="1" customFormat="1" x14ac:dyDescent="0.3">
      <c r="F889" s="12"/>
      <c r="H889" s="12"/>
      <c r="N889" s="31"/>
      <c r="O889" s="31"/>
      <c r="P889" s="30"/>
      <c r="Q889" s="30"/>
      <c r="R889" s="30"/>
    </row>
    <row r="890" spans="6:18" s="1" customFormat="1" x14ac:dyDescent="0.3">
      <c r="F890" s="12"/>
      <c r="H890" s="12"/>
      <c r="N890" s="31"/>
      <c r="O890" s="31"/>
      <c r="P890" s="30"/>
      <c r="Q890" s="30"/>
      <c r="R890" s="30"/>
    </row>
    <row r="891" spans="6:18" s="1" customFormat="1" x14ac:dyDescent="0.3">
      <c r="F891" s="12"/>
      <c r="H891" s="12"/>
      <c r="N891" s="31"/>
      <c r="O891" s="31"/>
      <c r="P891" s="30"/>
      <c r="Q891" s="30"/>
      <c r="R891" s="30"/>
    </row>
    <row r="892" spans="6:18" s="1" customFormat="1" x14ac:dyDescent="0.3">
      <c r="F892" s="12"/>
      <c r="H892" s="12"/>
      <c r="N892" s="31"/>
      <c r="O892" s="31"/>
      <c r="P892" s="30"/>
      <c r="Q892" s="30"/>
      <c r="R892" s="30"/>
    </row>
    <row r="893" spans="6:18" s="1" customFormat="1" x14ac:dyDescent="0.3">
      <c r="F893" s="12"/>
      <c r="H893" s="12"/>
      <c r="N893" s="31"/>
      <c r="O893" s="31"/>
      <c r="P893" s="30"/>
      <c r="Q893" s="30"/>
      <c r="R893" s="30"/>
    </row>
    <row r="894" spans="6:18" s="1" customFormat="1" x14ac:dyDescent="0.3">
      <c r="F894" s="12"/>
      <c r="H894" s="12"/>
      <c r="N894" s="31"/>
      <c r="O894" s="31"/>
      <c r="P894" s="30"/>
      <c r="Q894" s="30"/>
      <c r="R894" s="30"/>
    </row>
    <row r="895" spans="6:18" s="1" customFormat="1" x14ac:dyDescent="0.3">
      <c r="F895" s="12"/>
      <c r="H895" s="12"/>
      <c r="N895" s="31"/>
      <c r="O895" s="31"/>
      <c r="P895" s="30"/>
      <c r="Q895" s="30"/>
      <c r="R895" s="30"/>
    </row>
    <row r="896" spans="6:18" s="1" customFormat="1" x14ac:dyDescent="0.3">
      <c r="F896" s="12"/>
      <c r="H896" s="12"/>
      <c r="N896" s="31"/>
      <c r="O896" s="31"/>
      <c r="P896" s="30"/>
      <c r="Q896" s="30"/>
      <c r="R896" s="30"/>
    </row>
    <row r="897" spans="6:18" s="1" customFormat="1" x14ac:dyDescent="0.3">
      <c r="F897" s="12"/>
      <c r="H897" s="12"/>
      <c r="N897" s="31"/>
      <c r="O897" s="31"/>
      <c r="P897" s="30"/>
      <c r="Q897" s="30"/>
      <c r="R897" s="30"/>
    </row>
    <row r="898" spans="6:18" s="1" customFormat="1" x14ac:dyDescent="0.3">
      <c r="F898" s="12"/>
      <c r="H898" s="12"/>
      <c r="N898" s="31"/>
      <c r="O898" s="31"/>
      <c r="P898" s="30"/>
      <c r="Q898" s="30"/>
      <c r="R898" s="30"/>
    </row>
    <row r="899" spans="6:18" s="1" customFormat="1" x14ac:dyDescent="0.3">
      <c r="F899" s="12"/>
      <c r="H899" s="12"/>
      <c r="N899" s="31"/>
      <c r="O899" s="31"/>
      <c r="P899" s="30"/>
      <c r="Q899" s="30"/>
      <c r="R899" s="30"/>
    </row>
    <row r="900" spans="6:18" s="1" customFormat="1" x14ac:dyDescent="0.3">
      <c r="F900" s="12"/>
      <c r="H900" s="12"/>
      <c r="N900" s="31"/>
      <c r="O900" s="31"/>
      <c r="P900" s="30"/>
      <c r="Q900" s="30"/>
      <c r="R900" s="30"/>
    </row>
    <row r="901" spans="6:18" s="1" customFormat="1" x14ac:dyDescent="0.3">
      <c r="F901" s="12"/>
      <c r="H901" s="12"/>
      <c r="N901" s="31"/>
      <c r="O901" s="31"/>
      <c r="P901" s="30"/>
      <c r="Q901" s="30"/>
      <c r="R901" s="30"/>
    </row>
    <row r="902" spans="6:18" s="1" customFormat="1" x14ac:dyDescent="0.3">
      <c r="F902" s="12"/>
      <c r="H902" s="12"/>
      <c r="N902" s="31"/>
      <c r="O902" s="31"/>
      <c r="P902" s="30"/>
      <c r="Q902" s="30"/>
      <c r="R902" s="30"/>
    </row>
    <row r="903" spans="6:18" s="1" customFormat="1" x14ac:dyDescent="0.3">
      <c r="F903" s="12"/>
      <c r="H903" s="12"/>
      <c r="N903" s="31"/>
      <c r="O903" s="31"/>
      <c r="P903" s="30"/>
      <c r="Q903" s="30"/>
      <c r="R903" s="30"/>
    </row>
    <row r="904" spans="6:18" s="1" customFormat="1" x14ac:dyDescent="0.3">
      <c r="F904" s="12"/>
      <c r="H904" s="12"/>
      <c r="N904" s="31"/>
      <c r="O904" s="31"/>
      <c r="P904" s="30"/>
      <c r="Q904" s="30"/>
      <c r="R904" s="30"/>
    </row>
    <row r="905" spans="6:18" s="1" customFormat="1" x14ac:dyDescent="0.3">
      <c r="F905" s="12"/>
      <c r="H905" s="12"/>
      <c r="N905" s="31"/>
      <c r="O905" s="31"/>
      <c r="P905" s="30"/>
      <c r="Q905" s="30"/>
      <c r="R905" s="30"/>
    </row>
    <row r="906" spans="6:18" s="1" customFormat="1" x14ac:dyDescent="0.3">
      <c r="F906" s="12"/>
      <c r="H906" s="12"/>
      <c r="N906" s="31"/>
      <c r="O906" s="31"/>
      <c r="P906" s="30"/>
      <c r="Q906" s="30"/>
      <c r="R906" s="30"/>
    </row>
    <row r="907" spans="6:18" s="1" customFormat="1" x14ac:dyDescent="0.3">
      <c r="F907" s="12"/>
      <c r="H907" s="12"/>
      <c r="N907" s="31"/>
      <c r="O907" s="31"/>
      <c r="P907" s="30"/>
      <c r="Q907" s="30"/>
      <c r="R907" s="30"/>
    </row>
    <row r="908" spans="6:18" s="1" customFormat="1" x14ac:dyDescent="0.3">
      <c r="F908" s="12"/>
      <c r="H908" s="12"/>
      <c r="N908" s="31"/>
      <c r="O908" s="31"/>
      <c r="P908" s="30"/>
      <c r="Q908" s="30"/>
      <c r="R908" s="30"/>
    </row>
    <row r="909" spans="6:18" s="1" customFormat="1" x14ac:dyDescent="0.3">
      <c r="F909" s="12"/>
      <c r="H909" s="12"/>
      <c r="N909" s="31"/>
      <c r="O909" s="31"/>
      <c r="P909" s="30"/>
      <c r="Q909" s="30"/>
      <c r="R909" s="30"/>
    </row>
    <row r="910" spans="6:18" s="1" customFormat="1" x14ac:dyDescent="0.3">
      <c r="F910" s="12"/>
      <c r="H910" s="12"/>
      <c r="N910" s="31"/>
      <c r="O910" s="31"/>
      <c r="P910" s="30"/>
      <c r="Q910" s="30"/>
      <c r="R910" s="30"/>
    </row>
    <row r="911" spans="6:18" s="1" customFormat="1" x14ac:dyDescent="0.3">
      <c r="F911" s="12"/>
      <c r="H911" s="12"/>
      <c r="N911" s="31"/>
      <c r="O911" s="31"/>
      <c r="P911" s="30"/>
      <c r="Q911" s="30"/>
      <c r="R911" s="30"/>
    </row>
    <row r="912" spans="6:18" s="1" customFormat="1" x14ac:dyDescent="0.3">
      <c r="F912" s="12"/>
      <c r="H912" s="12"/>
      <c r="N912" s="31"/>
      <c r="O912" s="31"/>
      <c r="P912" s="30"/>
      <c r="Q912" s="30"/>
      <c r="R912" s="30"/>
    </row>
    <row r="913" spans="6:18" s="1" customFormat="1" x14ac:dyDescent="0.3">
      <c r="F913" s="12"/>
      <c r="H913" s="12"/>
      <c r="N913" s="31"/>
      <c r="O913" s="31"/>
      <c r="P913" s="30"/>
      <c r="Q913" s="30"/>
      <c r="R913" s="30"/>
    </row>
    <row r="914" spans="6:18" s="1" customFormat="1" x14ac:dyDescent="0.3">
      <c r="F914" s="12"/>
      <c r="H914" s="12"/>
      <c r="N914" s="31"/>
      <c r="O914" s="31"/>
      <c r="P914" s="30"/>
      <c r="Q914" s="30"/>
      <c r="R914" s="30"/>
    </row>
    <row r="915" spans="6:18" s="1" customFormat="1" x14ac:dyDescent="0.3">
      <c r="F915" s="12"/>
      <c r="H915" s="12"/>
      <c r="N915" s="31"/>
      <c r="O915" s="31"/>
      <c r="P915" s="30"/>
      <c r="Q915" s="30"/>
      <c r="R915" s="30"/>
    </row>
    <row r="916" spans="6:18" s="1" customFormat="1" x14ac:dyDescent="0.3">
      <c r="F916" s="12"/>
      <c r="H916" s="12"/>
      <c r="N916" s="31"/>
      <c r="O916" s="31"/>
      <c r="P916" s="30"/>
      <c r="Q916" s="30"/>
      <c r="R916" s="30"/>
    </row>
    <row r="917" spans="6:18" s="1" customFormat="1" x14ac:dyDescent="0.3">
      <c r="F917" s="12"/>
      <c r="H917" s="12"/>
      <c r="N917" s="31"/>
      <c r="O917" s="31"/>
      <c r="P917" s="30"/>
      <c r="Q917" s="30"/>
      <c r="R917" s="30"/>
    </row>
    <row r="918" spans="6:18" s="1" customFormat="1" x14ac:dyDescent="0.3">
      <c r="F918" s="12"/>
      <c r="H918" s="12"/>
      <c r="N918" s="31"/>
      <c r="O918" s="31"/>
      <c r="P918" s="30"/>
      <c r="Q918" s="30"/>
      <c r="R918" s="30"/>
    </row>
    <row r="919" spans="6:18" s="1" customFormat="1" x14ac:dyDescent="0.3">
      <c r="F919" s="12"/>
      <c r="H919" s="12"/>
      <c r="N919" s="31"/>
      <c r="O919" s="31"/>
      <c r="P919" s="30"/>
      <c r="Q919" s="30"/>
      <c r="R919" s="30"/>
    </row>
    <row r="920" spans="6:18" s="1" customFormat="1" x14ac:dyDescent="0.3">
      <c r="F920" s="12"/>
      <c r="H920" s="12"/>
      <c r="N920" s="31"/>
      <c r="O920" s="31"/>
      <c r="P920" s="30"/>
      <c r="Q920" s="30"/>
      <c r="R920" s="30"/>
    </row>
    <row r="921" spans="6:18" s="1" customFormat="1" x14ac:dyDescent="0.3">
      <c r="F921" s="12"/>
      <c r="H921" s="12"/>
      <c r="N921" s="31"/>
      <c r="O921" s="31"/>
      <c r="P921" s="30"/>
      <c r="Q921" s="30"/>
      <c r="R921" s="30"/>
    </row>
    <row r="922" spans="6:18" s="1" customFormat="1" x14ac:dyDescent="0.3">
      <c r="F922" s="12"/>
      <c r="H922" s="12"/>
      <c r="N922" s="31"/>
      <c r="O922" s="31"/>
      <c r="P922" s="30"/>
      <c r="Q922" s="30"/>
      <c r="R922" s="30"/>
    </row>
    <row r="923" spans="6:18" s="1" customFormat="1" x14ac:dyDescent="0.3">
      <c r="F923" s="12"/>
      <c r="H923" s="12"/>
      <c r="N923" s="31"/>
      <c r="O923" s="31"/>
      <c r="P923" s="30"/>
      <c r="Q923" s="30"/>
      <c r="R923" s="30"/>
    </row>
    <row r="924" spans="6:18" s="1" customFormat="1" x14ac:dyDescent="0.3">
      <c r="F924" s="12"/>
      <c r="H924" s="12"/>
      <c r="N924" s="31"/>
      <c r="O924" s="31"/>
      <c r="P924" s="30"/>
      <c r="Q924" s="30"/>
      <c r="R924" s="30"/>
    </row>
    <row r="925" spans="6:18" s="1" customFormat="1" x14ac:dyDescent="0.3">
      <c r="F925" s="12"/>
      <c r="H925" s="12"/>
      <c r="N925" s="31"/>
      <c r="O925" s="31"/>
      <c r="P925" s="30"/>
      <c r="Q925" s="30"/>
      <c r="R925" s="30"/>
    </row>
    <row r="926" spans="6:18" s="1" customFormat="1" x14ac:dyDescent="0.3">
      <c r="F926" s="12"/>
      <c r="H926" s="12"/>
      <c r="N926" s="31"/>
      <c r="O926" s="31"/>
      <c r="P926" s="30"/>
      <c r="Q926" s="30"/>
      <c r="R926" s="30"/>
    </row>
    <row r="927" spans="6:18" s="1" customFormat="1" x14ac:dyDescent="0.3">
      <c r="F927" s="12"/>
      <c r="H927" s="12"/>
      <c r="N927" s="31"/>
      <c r="O927" s="31"/>
      <c r="P927" s="30"/>
      <c r="Q927" s="30"/>
      <c r="R927" s="30"/>
    </row>
    <row r="928" spans="6:18" s="1" customFormat="1" x14ac:dyDescent="0.3">
      <c r="F928" s="12"/>
      <c r="H928" s="12"/>
      <c r="N928" s="31"/>
      <c r="O928" s="31"/>
      <c r="P928" s="30"/>
      <c r="Q928" s="30"/>
      <c r="R928" s="30"/>
    </row>
    <row r="929" spans="6:18" s="1" customFormat="1" x14ac:dyDescent="0.3">
      <c r="F929" s="12"/>
      <c r="H929" s="12"/>
      <c r="N929" s="31"/>
      <c r="O929" s="31"/>
      <c r="P929" s="30"/>
      <c r="Q929" s="30"/>
      <c r="R929" s="30"/>
    </row>
    <row r="930" spans="6:18" s="1" customFormat="1" x14ac:dyDescent="0.3">
      <c r="F930" s="12"/>
      <c r="H930" s="12"/>
      <c r="N930" s="31"/>
      <c r="O930" s="31"/>
      <c r="P930" s="30"/>
      <c r="Q930" s="30"/>
      <c r="R930" s="30"/>
    </row>
    <row r="931" spans="6:18" s="1" customFormat="1" x14ac:dyDescent="0.3">
      <c r="F931" s="12"/>
      <c r="H931" s="12"/>
      <c r="N931" s="31"/>
      <c r="O931" s="31"/>
      <c r="P931" s="30"/>
      <c r="Q931" s="30"/>
      <c r="R931" s="30"/>
    </row>
    <row r="932" spans="6:18" s="1" customFormat="1" x14ac:dyDescent="0.3">
      <c r="F932" s="12"/>
      <c r="H932" s="12"/>
      <c r="N932" s="31"/>
      <c r="O932" s="31"/>
      <c r="P932" s="30"/>
      <c r="Q932" s="30"/>
      <c r="R932" s="30"/>
    </row>
    <row r="933" spans="6:18" s="1" customFormat="1" x14ac:dyDescent="0.3">
      <c r="F933" s="12"/>
      <c r="H933" s="12"/>
      <c r="N933" s="31"/>
      <c r="O933" s="31"/>
      <c r="P933" s="30"/>
      <c r="Q933" s="30"/>
      <c r="R933" s="30"/>
    </row>
    <row r="934" spans="6:18" s="1" customFormat="1" x14ac:dyDescent="0.3">
      <c r="F934" s="12"/>
      <c r="H934" s="12"/>
      <c r="N934" s="31"/>
      <c r="O934" s="31"/>
      <c r="P934" s="30"/>
      <c r="Q934" s="30"/>
      <c r="R934" s="30"/>
    </row>
    <row r="935" spans="6:18" s="1" customFormat="1" x14ac:dyDescent="0.3">
      <c r="F935" s="12"/>
      <c r="H935" s="12"/>
      <c r="N935" s="31"/>
      <c r="O935" s="31"/>
      <c r="P935" s="30"/>
      <c r="Q935" s="30"/>
      <c r="R935" s="30"/>
    </row>
    <row r="936" spans="6:18" s="1" customFormat="1" x14ac:dyDescent="0.3">
      <c r="F936" s="12"/>
      <c r="H936" s="12"/>
      <c r="N936" s="31"/>
      <c r="O936" s="31"/>
      <c r="P936" s="30"/>
      <c r="Q936" s="30"/>
      <c r="R936" s="30"/>
    </row>
    <row r="937" spans="6:18" s="1" customFormat="1" x14ac:dyDescent="0.3">
      <c r="F937" s="12"/>
      <c r="H937" s="12"/>
      <c r="N937" s="31"/>
      <c r="O937" s="31"/>
      <c r="P937" s="30"/>
      <c r="Q937" s="30"/>
      <c r="R937" s="30"/>
    </row>
    <row r="938" spans="6:18" s="1" customFormat="1" x14ac:dyDescent="0.3">
      <c r="F938" s="12"/>
      <c r="H938" s="12"/>
      <c r="N938" s="31"/>
      <c r="O938" s="31"/>
      <c r="P938" s="30"/>
      <c r="Q938" s="30"/>
      <c r="R938" s="30"/>
    </row>
    <row r="939" spans="6:18" s="1" customFormat="1" x14ac:dyDescent="0.3">
      <c r="F939" s="12"/>
      <c r="H939" s="12"/>
      <c r="N939" s="31"/>
      <c r="O939" s="31"/>
      <c r="P939" s="30"/>
      <c r="Q939" s="30"/>
      <c r="R939" s="30"/>
    </row>
    <row r="940" spans="6:18" s="1" customFormat="1" x14ac:dyDescent="0.3">
      <c r="F940" s="12"/>
      <c r="H940" s="12"/>
      <c r="N940" s="31"/>
      <c r="O940" s="31"/>
      <c r="P940" s="30"/>
      <c r="Q940" s="30"/>
      <c r="R940" s="30"/>
    </row>
    <row r="941" spans="6:18" s="1" customFormat="1" x14ac:dyDescent="0.3">
      <c r="F941" s="12"/>
      <c r="H941" s="12"/>
      <c r="N941" s="31"/>
      <c r="O941" s="31"/>
      <c r="P941" s="30"/>
      <c r="Q941" s="30"/>
      <c r="R941" s="30"/>
    </row>
    <row r="942" spans="6:18" s="1" customFormat="1" x14ac:dyDescent="0.3">
      <c r="F942" s="12"/>
      <c r="H942" s="12"/>
      <c r="N942" s="31"/>
      <c r="O942" s="31"/>
      <c r="P942" s="30"/>
      <c r="Q942" s="30"/>
      <c r="R942" s="30"/>
    </row>
    <row r="943" spans="6:18" s="1" customFormat="1" x14ac:dyDescent="0.3">
      <c r="F943" s="12"/>
      <c r="H943" s="12"/>
      <c r="N943" s="31"/>
      <c r="O943" s="31"/>
      <c r="P943" s="30"/>
      <c r="Q943" s="30"/>
      <c r="R943" s="30"/>
    </row>
    <row r="944" spans="6:18" s="1" customFormat="1" x14ac:dyDescent="0.3">
      <c r="F944" s="12"/>
      <c r="H944" s="12"/>
      <c r="N944" s="31"/>
      <c r="O944" s="31"/>
      <c r="P944" s="30"/>
      <c r="Q944" s="30"/>
      <c r="R944" s="30"/>
    </row>
    <row r="945" spans="6:18" s="1" customFormat="1" x14ac:dyDescent="0.3">
      <c r="F945" s="12"/>
      <c r="H945" s="12"/>
      <c r="N945" s="31"/>
      <c r="O945" s="31"/>
      <c r="P945" s="30"/>
      <c r="Q945" s="30"/>
      <c r="R945" s="30"/>
    </row>
    <row r="946" spans="6:18" s="1" customFormat="1" x14ac:dyDescent="0.3">
      <c r="F946" s="12"/>
      <c r="H946" s="12"/>
      <c r="N946" s="31"/>
      <c r="O946" s="31"/>
      <c r="P946" s="30"/>
      <c r="Q946" s="30"/>
      <c r="R946" s="30"/>
    </row>
    <row r="947" spans="6:18" s="1" customFormat="1" x14ac:dyDescent="0.3">
      <c r="F947" s="12"/>
      <c r="H947" s="12"/>
      <c r="N947" s="31"/>
      <c r="O947" s="31"/>
      <c r="P947" s="30"/>
      <c r="Q947" s="30"/>
      <c r="R947" s="30"/>
    </row>
    <row r="948" spans="6:18" s="1" customFormat="1" x14ac:dyDescent="0.3">
      <c r="F948" s="12"/>
      <c r="H948" s="12"/>
      <c r="N948" s="31"/>
      <c r="O948" s="31"/>
      <c r="P948" s="30"/>
      <c r="Q948" s="30"/>
      <c r="R948" s="30"/>
    </row>
    <row r="949" spans="6:18" s="1" customFormat="1" x14ac:dyDescent="0.3">
      <c r="F949" s="12"/>
      <c r="H949" s="12"/>
      <c r="N949" s="31"/>
      <c r="O949" s="31"/>
      <c r="P949" s="30"/>
      <c r="Q949" s="30"/>
      <c r="R949" s="30"/>
    </row>
    <row r="950" spans="6:18" s="1" customFormat="1" x14ac:dyDescent="0.3">
      <c r="F950" s="12"/>
      <c r="H950" s="12"/>
      <c r="N950" s="31"/>
      <c r="O950" s="31"/>
      <c r="P950" s="30"/>
      <c r="Q950" s="30"/>
      <c r="R950" s="30"/>
    </row>
    <row r="951" spans="6:18" s="1" customFormat="1" x14ac:dyDescent="0.3">
      <c r="F951" s="12"/>
      <c r="H951" s="12"/>
      <c r="N951" s="31"/>
      <c r="O951" s="31"/>
      <c r="P951" s="30"/>
      <c r="Q951" s="30"/>
      <c r="R951" s="30"/>
    </row>
    <row r="952" spans="6:18" s="1" customFormat="1" x14ac:dyDescent="0.3">
      <c r="F952" s="12"/>
      <c r="H952" s="12"/>
      <c r="N952" s="31"/>
      <c r="O952" s="31"/>
      <c r="P952" s="30"/>
      <c r="Q952" s="30"/>
      <c r="R952" s="30"/>
    </row>
    <row r="953" spans="6:18" s="1" customFormat="1" x14ac:dyDescent="0.3">
      <c r="F953" s="12"/>
      <c r="H953" s="12"/>
      <c r="N953" s="31"/>
      <c r="O953" s="31"/>
      <c r="P953" s="30"/>
      <c r="Q953" s="30"/>
      <c r="R953" s="30"/>
    </row>
    <row r="954" spans="6:18" s="1" customFormat="1" x14ac:dyDescent="0.3">
      <c r="F954" s="12"/>
      <c r="H954" s="12"/>
      <c r="N954" s="31"/>
      <c r="O954" s="31"/>
      <c r="P954" s="30"/>
      <c r="Q954" s="30"/>
      <c r="R954" s="30"/>
    </row>
    <row r="955" spans="6:18" s="1" customFormat="1" x14ac:dyDescent="0.3">
      <c r="F955" s="12"/>
      <c r="H955" s="12"/>
      <c r="N955" s="31"/>
      <c r="O955" s="31"/>
      <c r="P955" s="30"/>
      <c r="Q955" s="30"/>
      <c r="R955" s="30"/>
    </row>
    <row r="956" spans="6:18" s="1" customFormat="1" x14ac:dyDescent="0.3">
      <c r="F956" s="12"/>
      <c r="H956" s="12"/>
      <c r="N956" s="31"/>
      <c r="O956" s="31"/>
      <c r="P956" s="30"/>
      <c r="Q956" s="30"/>
      <c r="R956" s="30"/>
    </row>
    <row r="957" spans="6:18" s="1" customFormat="1" x14ac:dyDescent="0.3">
      <c r="F957" s="12"/>
      <c r="H957" s="12"/>
      <c r="N957" s="31"/>
      <c r="O957" s="31"/>
      <c r="P957" s="30"/>
      <c r="Q957" s="30"/>
      <c r="R957" s="30"/>
    </row>
    <row r="958" spans="6:18" s="1" customFormat="1" x14ac:dyDescent="0.3">
      <c r="F958" s="12"/>
      <c r="H958" s="12"/>
      <c r="N958" s="31"/>
      <c r="O958" s="31"/>
      <c r="P958" s="30"/>
      <c r="Q958" s="30"/>
      <c r="R958" s="30"/>
    </row>
    <row r="959" spans="6:18" s="1" customFormat="1" x14ac:dyDescent="0.3">
      <c r="F959" s="12"/>
      <c r="H959" s="12"/>
      <c r="N959" s="31"/>
      <c r="O959" s="31"/>
      <c r="P959" s="30"/>
      <c r="Q959" s="30"/>
      <c r="R959" s="30"/>
    </row>
    <row r="960" spans="6:18" s="1" customFormat="1" x14ac:dyDescent="0.3">
      <c r="F960" s="12"/>
      <c r="H960" s="12"/>
      <c r="N960" s="31"/>
      <c r="O960" s="31"/>
      <c r="P960" s="30"/>
      <c r="Q960" s="30"/>
      <c r="R960" s="30"/>
    </row>
    <row r="961" spans="6:18" s="1" customFormat="1" x14ac:dyDescent="0.3">
      <c r="F961" s="12"/>
      <c r="H961" s="12"/>
      <c r="N961" s="31"/>
      <c r="O961" s="31"/>
      <c r="P961" s="30"/>
      <c r="Q961" s="30"/>
      <c r="R961" s="30"/>
    </row>
    <row r="962" spans="6:18" s="1" customFormat="1" x14ac:dyDescent="0.3">
      <c r="F962" s="12"/>
      <c r="H962" s="12"/>
      <c r="N962" s="31"/>
      <c r="O962" s="31"/>
      <c r="P962" s="30"/>
      <c r="Q962" s="30"/>
      <c r="R962" s="30"/>
    </row>
    <row r="963" spans="6:18" s="1" customFormat="1" x14ac:dyDescent="0.3">
      <c r="F963" s="12"/>
      <c r="H963" s="12"/>
      <c r="N963" s="31"/>
      <c r="O963" s="31"/>
      <c r="P963" s="30"/>
      <c r="Q963" s="30"/>
      <c r="R963" s="30"/>
    </row>
    <row r="964" spans="6:18" s="1" customFormat="1" x14ac:dyDescent="0.3">
      <c r="F964" s="12"/>
      <c r="H964" s="12"/>
      <c r="N964" s="31"/>
      <c r="O964" s="31"/>
      <c r="P964" s="30"/>
      <c r="Q964" s="30"/>
      <c r="R964" s="30"/>
    </row>
    <row r="965" spans="6:18" s="1" customFormat="1" x14ac:dyDescent="0.3">
      <c r="F965" s="12"/>
      <c r="H965" s="12"/>
      <c r="N965" s="31"/>
      <c r="O965" s="31"/>
      <c r="P965" s="30"/>
      <c r="Q965" s="30"/>
      <c r="R965" s="30"/>
    </row>
    <row r="966" spans="6:18" s="1" customFormat="1" x14ac:dyDescent="0.3">
      <c r="F966" s="12"/>
      <c r="H966" s="12"/>
      <c r="N966" s="31"/>
      <c r="O966" s="31"/>
      <c r="P966" s="30"/>
      <c r="Q966" s="30"/>
      <c r="R966" s="30"/>
    </row>
    <row r="967" spans="6:18" s="1" customFormat="1" x14ac:dyDescent="0.3">
      <c r="F967" s="12"/>
      <c r="H967" s="12"/>
      <c r="N967" s="31"/>
      <c r="O967" s="31"/>
      <c r="P967" s="30"/>
      <c r="Q967" s="30"/>
      <c r="R967" s="30"/>
    </row>
    <row r="968" spans="6:18" s="1" customFormat="1" x14ac:dyDescent="0.3">
      <c r="F968" s="12"/>
      <c r="H968" s="12"/>
      <c r="N968" s="31"/>
      <c r="O968" s="31"/>
      <c r="P968" s="30"/>
      <c r="Q968" s="30"/>
      <c r="R968" s="30"/>
    </row>
    <row r="969" spans="6:18" s="1" customFormat="1" x14ac:dyDescent="0.3">
      <c r="F969" s="12"/>
      <c r="H969" s="12"/>
      <c r="N969" s="31"/>
      <c r="O969" s="31"/>
      <c r="P969" s="30"/>
      <c r="Q969" s="30"/>
      <c r="R969" s="30"/>
    </row>
    <row r="970" spans="6:18" s="1" customFormat="1" x14ac:dyDescent="0.3">
      <c r="F970" s="12"/>
      <c r="H970" s="12"/>
      <c r="N970" s="31"/>
      <c r="O970" s="31"/>
      <c r="P970" s="30"/>
      <c r="Q970" s="30"/>
      <c r="R970" s="30"/>
    </row>
    <row r="971" spans="6:18" s="1" customFormat="1" x14ac:dyDescent="0.3">
      <c r="F971" s="12"/>
      <c r="H971" s="12"/>
      <c r="N971" s="31"/>
      <c r="O971" s="31"/>
      <c r="P971" s="30"/>
      <c r="Q971" s="30"/>
      <c r="R971" s="30"/>
    </row>
    <row r="972" spans="6:18" s="1" customFormat="1" x14ac:dyDescent="0.3">
      <c r="F972" s="12"/>
      <c r="H972" s="12"/>
      <c r="N972" s="31"/>
      <c r="O972" s="31"/>
      <c r="P972" s="30"/>
      <c r="Q972" s="30"/>
      <c r="R972" s="30"/>
    </row>
    <row r="973" spans="6:18" s="1" customFormat="1" x14ac:dyDescent="0.3">
      <c r="F973" s="12"/>
      <c r="H973" s="12"/>
      <c r="N973" s="31"/>
      <c r="O973" s="31"/>
      <c r="P973" s="30"/>
      <c r="Q973" s="30"/>
      <c r="R973" s="30"/>
    </row>
    <row r="974" spans="6:18" s="1" customFormat="1" x14ac:dyDescent="0.3">
      <c r="F974" s="12"/>
      <c r="H974" s="12"/>
      <c r="N974" s="31"/>
      <c r="O974" s="31"/>
      <c r="P974" s="30"/>
      <c r="Q974" s="30"/>
      <c r="R974" s="30"/>
    </row>
    <row r="975" spans="6:18" s="1" customFormat="1" x14ac:dyDescent="0.3">
      <c r="F975" s="12"/>
      <c r="H975" s="12"/>
      <c r="N975" s="31"/>
      <c r="O975" s="31"/>
      <c r="P975" s="30"/>
      <c r="Q975" s="30"/>
      <c r="R975" s="30"/>
    </row>
    <row r="976" spans="6:18" s="1" customFormat="1" x14ac:dyDescent="0.3">
      <c r="F976" s="12"/>
      <c r="H976" s="12"/>
      <c r="N976" s="31"/>
      <c r="O976" s="31"/>
      <c r="P976" s="30"/>
      <c r="Q976" s="30"/>
      <c r="R976" s="30"/>
    </row>
    <row r="977" spans="6:18" s="1" customFormat="1" x14ac:dyDescent="0.3">
      <c r="F977" s="12"/>
      <c r="H977" s="12"/>
      <c r="N977" s="31"/>
      <c r="O977" s="31"/>
      <c r="P977" s="30"/>
      <c r="Q977" s="30"/>
      <c r="R977" s="30"/>
    </row>
    <row r="978" spans="6:18" s="1" customFormat="1" x14ac:dyDescent="0.3">
      <c r="F978" s="12"/>
      <c r="H978" s="12"/>
      <c r="N978" s="31"/>
      <c r="O978" s="31"/>
      <c r="P978" s="30"/>
      <c r="Q978" s="30"/>
      <c r="R978" s="30"/>
    </row>
    <row r="979" spans="6:18" s="1" customFormat="1" x14ac:dyDescent="0.3">
      <c r="F979" s="12"/>
      <c r="H979" s="12"/>
      <c r="N979" s="31"/>
      <c r="O979" s="31"/>
      <c r="P979" s="30"/>
      <c r="Q979" s="30"/>
      <c r="R979" s="30"/>
    </row>
    <row r="980" spans="6:18" s="1" customFormat="1" x14ac:dyDescent="0.3">
      <c r="F980" s="12"/>
      <c r="H980" s="12"/>
      <c r="N980" s="31"/>
      <c r="O980" s="31"/>
      <c r="P980" s="30"/>
      <c r="Q980" s="30"/>
      <c r="R980" s="30"/>
    </row>
    <row r="981" spans="6:18" s="1" customFormat="1" x14ac:dyDescent="0.3">
      <c r="F981" s="12"/>
      <c r="H981" s="12"/>
      <c r="N981" s="31"/>
      <c r="O981" s="31"/>
      <c r="P981" s="30"/>
      <c r="Q981" s="30"/>
      <c r="R981" s="30"/>
    </row>
    <row r="982" spans="6:18" s="1" customFormat="1" x14ac:dyDescent="0.3">
      <c r="F982" s="12"/>
      <c r="H982" s="12"/>
      <c r="N982" s="31"/>
      <c r="O982" s="31"/>
      <c r="P982" s="30"/>
      <c r="Q982" s="30"/>
      <c r="R982" s="30"/>
    </row>
    <row r="983" spans="6:18" s="1" customFormat="1" x14ac:dyDescent="0.3">
      <c r="F983" s="12"/>
      <c r="H983" s="12"/>
      <c r="N983" s="31"/>
      <c r="O983" s="31"/>
      <c r="P983" s="30"/>
      <c r="Q983" s="30"/>
      <c r="R983" s="30"/>
    </row>
    <row r="984" spans="6:18" s="1" customFormat="1" x14ac:dyDescent="0.3">
      <c r="F984" s="12"/>
      <c r="H984" s="12"/>
      <c r="N984" s="31"/>
      <c r="O984" s="31"/>
      <c r="P984" s="30"/>
      <c r="Q984" s="30"/>
      <c r="R984" s="30"/>
    </row>
    <row r="985" spans="6:18" s="1" customFormat="1" x14ac:dyDescent="0.3">
      <c r="F985" s="12"/>
      <c r="H985" s="12"/>
      <c r="N985" s="31"/>
      <c r="O985" s="31"/>
      <c r="P985" s="30"/>
      <c r="Q985" s="30"/>
      <c r="R985" s="30"/>
    </row>
    <row r="986" spans="6:18" s="1" customFormat="1" x14ac:dyDescent="0.3">
      <c r="F986" s="12"/>
      <c r="H986" s="12"/>
      <c r="N986" s="31"/>
      <c r="O986" s="31"/>
      <c r="P986" s="30"/>
      <c r="Q986" s="30"/>
      <c r="R986" s="30"/>
    </row>
    <row r="987" spans="6:18" s="1" customFormat="1" x14ac:dyDescent="0.3">
      <c r="F987" s="12"/>
      <c r="H987" s="12"/>
      <c r="N987" s="31"/>
      <c r="O987" s="31"/>
      <c r="P987" s="30"/>
      <c r="Q987" s="30"/>
      <c r="R987" s="30"/>
    </row>
    <row r="988" spans="6:18" s="1" customFormat="1" x14ac:dyDescent="0.3">
      <c r="F988" s="12"/>
      <c r="H988" s="12"/>
      <c r="N988" s="31"/>
      <c r="O988" s="31"/>
      <c r="P988" s="30"/>
      <c r="Q988" s="30"/>
      <c r="R988" s="30"/>
    </row>
    <row r="989" spans="6:18" s="1" customFormat="1" x14ac:dyDescent="0.3">
      <c r="F989" s="12"/>
      <c r="H989" s="12"/>
      <c r="N989" s="31"/>
      <c r="O989" s="31"/>
      <c r="P989" s="30"/>
      <c r="Q989" s="30"/>
      <c r="R989" s="30"/>
    </row>
    <row r="990" spans="6:18" s="1" customFormat="1" x14ac:dyDescent="0.3">
      <c r="F990" s="12"/>
      <c r="H990" s="12"/>
      <c r="N990" s="31"/>
      <c r="O990" s="31"/>
      <c r="P990" s="30"/>
      <c r="Q990" s="30"/>
      <c r="R990" s="30"/>
    </row>
    <row r="991" spans="6:18" s="1" customFormat="1" x14ac:dyDescent="0.3">
      <c r="F991" s="12"/>
      <c r="H991" s="12"/>
      <c r="N991" s="31"/>
      <c r="O991" s="31"/>
      <c r="P991" s="30"/>
      <c r="Q991" s="30"/>
      <c r="R991" s="30"/>
    </row>
    <row r="992" spans="6:18" s="1" customFormat="1" x14ac:dyDescent="0.3">
      <c r="F992" s="12"/>
      <c r="H992" s="12"/>
      <c r="N992" s="31"/>
      <c r="O992" s="31"/>
      <c r="P992" s="30"/>
      <c r="Q992" s="30"/>
      <c r="R992" s="30"/>
    </row>
    <row r="993" spans="6:18" s="1" customFormat="1" x14ac:dyDescent="0.3">
      <c r="F993" s="12"/>
      <c r="H993" s="12"/>
      <c r="N993" s="31"/>
      <c r="O993" s="31"/>
      <c r="P993" s="30"/>
      <c r="Q993" s="30"/>
      <c r="R993" s="30"/>
    </row>
    <row r="994" spans="6:18" s="1" customFormat="1" x14ac:dyDescent="0.3">
      <c r="F994" s="12"/>
      <c r="H994" s="12"/>
      <c r="N994" s="31"/>
      <c r="O994" s="31"/>
      <c r="P994" s="30"/>
      <c r="Q994" s="30"/>
      <c r="R994" s="30"/>
    </row>
    <row r="995" spans="6:18" s="1" customFormat="1" x14ac:dyDescent="0.3">
      <c r="F995" s="12"/>
      <c r="H995" s="12"/>
      <c r="N995" s="31"/>
      <c r="O995" s="31"/>
      <c r="P995" s="30"/>
      <c r="Q995" s="30"/>
      <c r="R995" s="30"/>
    </row>
    <row r="996" spans="6:18" s="1" customFormat="1" x14ac:dyDescent="0.3">
      <c r="F996" s="12"/>
      <c r="H996" s="12"/>
      <c r="N996" s="31"/>
      <c r="O996" s="31"/>
      <c r="P996" s="30"/>
      <c r="Q996" s="30"/>
      <c r="R996" s="30"/>
    </row>
    <row r="997" spans="6:18" s="1" customFormat="1" x14ac:dyDescent="0.3">
      <c r="F997" s="12"/>
      <c r="H997" s="12"/>
      <c r="N997" s="31"/>
      <c r="O997" s="31"/>
      <c r="P997" s="30"/>
      <c r="Q997" s="30"/>
      <c r="R997" s="30"/>
    </row>
    <row r="998" spans="6:18" s="1" customFormat="1" x14ac:dyDescent="0.3">
      <c r="F998" s="12"/>
      <c r="H998" s="12"/>
      <c r="N998" s="31"/>
      <c r="O998" s="31"/>
      <c r="P998" s="30"/>
      <c r="Q998" s="30"/>
      <c r="R998" s="30"/>
    </row>
    <row r="999" spans="6:18" s="1" customFormat="1" x14ac:dyDescent="0.3">
      <c r="F999" s="12"/>
      <c r="H999" s="12"/>
      <c r="N999" s="31"/>
      <c r="O999" s="31"/>
      <c r="P999" s="30"/>
      <c r="Q999" s="30"/>
      <c r="R999" s="30"/>
    </row>
    <row r="1000" spans="6:18" s="1" customFormat="1" x14ac:dyDescent="0.3">
      <c r="F1000" s="12"/>
      <c r="H1000" s="12"/>
      <c r="N1000" s="31"/>
      <c r="O1000" s="31"/>
      <c r="P1000" s="30"/>
      <c r="Q1000" s="30"/>
      <c r="R1000" s="30"/>
    </row>
    <row r="1001" spans="6:18" s="1" customFormat="1" x14ac:dyDescent="0.3">
      <c r="F1001" s="12"/>
      <c r="H1001" s="12"/>
      <c r="N1001" s="31"/>
      <c r="O1001" s="31"/>
      <c r="P1001" s="30"/>
      <c r="Q1001" s="30"/>
      <c r="R1001" s="30"/>
    </row>
    <row r="1002" spans="6:18" s="1" customFormat="1" x14ac:dyDescent="0.3">
      <c r="F1002" s="12"/>
      <c r="H1002" s="12"/>
      <c r="N1002" s="31"/>
      <c r="O1002" s="31"/>
      <c r="P1002" s="30"/>
      <c r="Q1002" s="30"/>
      <c r="R1002" s="30"/>
    </row>
    <row r="1003" spans="6:18" s="1" customFormat="1" x14ac:dyDescent="0.3">
      <c r="F1003" s="12"/>
      <c r="H1003" s="12"/>
      <c r="N1003" s="31"/>
      <c r="O1003" s="31"/>
      <c r="P1003" s="30"/>
      <c r="Q1003" s="30"/>
      <c r="R1003" s="30"/>
    </row>
    <row r="1004" spans="6:18" s="1" customFormat="1" x14ac:dyDescent="0.3">
      <c r="F1004" s="12"/>
      <c r="H1004" s="12"/>
      <c r="N1004" s="31"/>
      <c r="O1004" s="31"/>
      <c r="P1004" s="30"/>
      <c r="Q1004" s="30"/>
      <c r="R1004" s="30"/>
    </row>
    <row r="1005" spans="6:18" s="1" customFormat="1" x14ac:dyDescent="0.3">
      <c r="F1005" s="12"/>
      <c r="H1005" s="12"/>
      <c r="N1005" s="31"/>
      <c r="O1005" s="31"/>
      <c r="P1005" s="30"/>
      <c r="Q1005" s="30"/>
      <c r="R1005" s="30"/>
    </row>
    <row r="1006" spans="6:18" s="1" customFormat="1" x14ac:dyDescent="0.3">
      <c r="F1006" s="12"/>
      <c r="H1006" s="12"/>
      <c r="N1006" s="31"/>
      <c r="O1006" s="31"/>
      <c r="P1006" s="30"/>
      <c r="Q1006" s="30"/>
      <c r="R1006" s="30"/>
    </row>
    <row r="1007" spans="6:18" s="1" customFormat="1" x14ac:dyDescent="0.3">
      <c r="F1007" s="12"/>
      <c r="H1007" s="12"/>
      <c r="N1007" s="31"/>
      <c r="O1007" s="31"/>
      <c r="P1007" s="30"/>
      <c r="Q1007" s="30"/>
      <c r="R1007" s="30"/>
    </row>
    <row r="1008" spans="6:18" s="1" customFormat="1" x14ac:dyDescent="0.3">
      <c r="F1008" s="12"/>
      <c r="H1008" s="12"/>
      <c r="N1008" s="31"/>
      <c r="O1008" s="31"/>
      <c r="P1008" s="30"/>
      <c r="Q1008" s="30"/>
      <c r="R1008" s="30"/>
    </row>
    <row r="1009" spans="6:18" s="1" customFormat="1" x14ac:dyDescent="0.3">
      <c r="F1009" s="12"/>
      <c r="H1009" s="12"/>
      <c r="N1009" s="31"/>
      <c r="O1009" s="31"/>
      <c r="P1009" s="30"/>
      <c r="Q1009" s="30"/>
      <c r="R1009" s="30"/>
    </row>
    <row r="1010" spans="6:18" s="1" customFormat="1" x14ac:dyDescent="0.3">
      <c r="F1010" s="12"/>
      <c r="H1010" s="12"/>
      <c r="N1010" s="31"/>
      <c r="O1010" s="31"/>
      <c r="P1010" s="30"/>
      <c r="Q1010" s="30"/>
      <c r="R1010" s="30"/>
    </row>
    <row r="1011" spans="6:18" s="1" customFormat="1" x14ac:dyDescent="0.3">
      <c r="F1011" s="12"/>
      <c r="H1011" s="12"/>
      <c r="N1011" s="31"/>
      <c r="O1011" s="31"/>
      <c r="P1011" s="30"/>
      <c r="Q1011" s="30"/>
      <c r="R1011" s="30"/>
    </row>
    <row r="1012" spans="6:18" s="1" customFormat="1" x14ac:dyDescent="0.3">
      <c r="F1012" s="12"/>
      <c r="H1012" s="12"/>
      <c r="N1012" s="31"/>
      <c r="O1012" s="31"/>
      <c r="P1012" s="30"/>
      <c r="Q1012" s="30"/>
      <c r="R1012" s="30"/>
    </row>
    <row r="1013" spans="6:18" s="1" customFormat="1" x14ac:dyDescent="0.3">
      <c r="F1013" s="12"/>
      <c r="H1013" s="12"/>
      <c r="N1013" s="31"/>
      <c r="O1013" s="31"/>
      <c r="P1013" s="30"/>
      <c r="Q1013" s="30"/>
      <c r="R1013" s="30"/>
    </row>
    <row r="1014" spans="6:18" s="1" customFormat="1" x14ac:dyDescent="0.3">
      <c r="F1014" s="12"/>
      <c r="H1014" s="12"/>
      <c r="N1014" s="31"/>
      <c r="O1014" s="31"/>
      <c r="P1014" s="30"/>
      <c r="Q1014" s="30"/>
      <c r="R1014" s="30"/>
    </row>
    <row r="1015" spans="6:18" s="1" customFormat="1" x14ac:dyDescent="0.3">
      <c r="F1015" s="12"/>
      <c r="H1015" s="12"/>
      <c r="N1015" s="31"/>
      <c r="O1015" s="31"/>
      <c r="P1015" s="30"/>
      <c r="Q1015" s="30"/>
      <c r="R1015" s="30"/>
    </row>
    <row r="1016" spans="6:18" s="1" customFormat="1" x14ac:dyDescent="0.3">
      <c r="F1016" s="12"/>
      <c r="H1016" s="12"/>
      <c r="N1016" s="31"/>
      <c r="O1016" s="31"/>
      <c r="P1016" s="30"/>
      <c r="Q1016" s="30"/>
      <c r="R1016" s="30"/>
    </row>
    <row r="1017" spans="6:18" s="1" customFormat="1" x14ac:dyDescent="0.3">
      <c r="F1017" s="12"/>
      <c r="H1017" s="12"/>
      <c r="N1017" s="31"/>
      <c r="O1017" s="31"/>
      <c r="P1017" s="30"/>
      <c r="Q1017" s="30"/>
      <c r="R1017" s="30"/>
    </row>
    <row r="1018" spans="6:18" s="1" customFormat="1" x14ac:dyDescent="0.3">
      <c r="F1018" s="12"/>
      <c r="H1018" s="12"/>
      <c r="N1018" s="31"/>
      <c r="O1018" s="31"/>
      <c r="P1018" s="30"/>
      <c r="Q1018" s="30"/>
      <c r="R1018" s="30"/>
    </row>
    <row r="1019" spans="6:18" s="1" customFormat="1" x14ac:dyDescent="0.3">
      <c r="F1019" s="12"/>
      <c r="H1019" s="12"/>
      <c r="N1019" s="31"/>
      <c r="O1019" s="31"/>
      <c r="P1019" s="30"/>
      <c r="Q1019" s="30"/>
      <c r="R1019" s="30"/>
    </row>
    <row r="1020" spans="6:18" s="1" customFormat="1" x14ac:dyDescent="0.3">
      <c r="F1020" s="12"/>
      <c r="H1020" s="12"/>
      <c r="N1020" s="31"/>
      <c r="O1020" s="31"/>
      <c r="P1020" s="30"/>
      <c r="Q1020" s="30"/>
      <c r="R1020" s="30"/>
    </row>
    <row r="1021" spans="6:18" s="1" customFormat="1" x14ac:dyDescent="0.3">
      <c r="F1021" s="12"/>
      <c r="H1021" s="12"/>
      <c r="N1021" s="31"/>
      <c r="O1021" s="31"/>
      <c r="P1021" s="30"/>
      <c r="Q1021" s="30"/>
      <c r="R1021" s="30"/>
    </row>
    <row r="1022" spans="6:18" s="1" customFormat="1" x14ac:dyDescent="0.3">
      <c r="F1022" s="12"/>
      <c r="H1022" s="12"/>
      <c r="N1022" s="31"/>
      <c r="O1022" s="31"/>
      <c r="P1022" s="30"/>
      <c r="Q1022" s="30"/>
      <c r="R1022" s="30"/>
    </row>
    <row r="1023" spans="6:18" s="1" customFormat="1" x14ac:dyDescent="0.3">
      <c r="F1023" s="12"/>
      <c r="H1023" s="12"/>
      <c r="N1023" s="31"/>
      <c r="O1023" s="31"/>
      <c r="P1023" s="30"/>
      <c r="Q1023" s="30"/>
      <c r="R1023" s="30"/>
    </row>
    <row r="1024" spans="6:18" s="1" customFormat="1" x14ac:dyDescent="0.3">
      <c r="F1024" s="12"/>
      <c r="H1024" s="12"/>
      <c r="N1024" s="31"/>
      <c r="O1024" s="31"/>
      <c r="P1024" s="30"/>
      <c r="Q1024" s="30"/>
      <c r="R1024" s="30"/>
    </row>
    <row r="1025" spans="6:18" s="1" customFormat="1" x14ac:dyDescent="0.3">
      <c r="F1025" s="12"/>
      <c r="H1025" s="12"/>
      <c r="N1025" s="31"/>
      <c r="O1025" s="31"/>
      <c r="P1025" s="30"/>
      <c r="Q1025" s="30"/>
      <c r="R1025" s="30"/>
    </row>
    <row r="1026" spans="6:18" s="1" customFormat="1" x14ac:dyDescent="0.3">
      <c r="F1026" s="12"/>
      <c r="H1026" s="12"/>
      <c r="N1026" s="31"/>
      <c r="O1026" s="31"/>
      <c r="P1026" s="30"/>
      <c r="Q1026" s="30"/>
      <c r="R1026" s="30"/>
    </row>
    <row r="1027" spans="6:18" s="1" customFormat="1" x14ac:dyDescent="0.3">
      <c r="F1027" s="12"/>
      <c r="H1027" s="12"/>
      <c r="N1027" s="31"/>
      <c r="O1027" s="31"/>
      <c r="P1027" s="30"/>
      <c r="Q1027" s="30"/>
      <c r="R1027" s="30"/>
    </row>
    <row r="1028" spans="6:18" s="1" customFormat="1" x14ac:dyDescent="0.3">
      <c r="F1028" s="12"/>
      <c r="H1028" s="12"/>
      <c r="N1028" s="31"/>
      <c r="O1028" s="31"/>
      <c r="P1028" s="30"/>
      <c r="Q1028" s="30"/>
      <c r="R1028" s="30"/>
    </row>
    <row r="1029" spans="6:18" s="1" customFormat="1" x14ac:dyDescent="0.3">
      <c r="F1029" s="12"/>
      <c r="H1029" s="12"/>
      <c r="N1029" s="31"/>
      <c r="O1029" s="31"/>
      <c r="P1029" s="30"/>
      <c r="Q1029" s="30"/>
      <c r="R1029" s="30"/>
    </row>
    <row r="1030" spans="6:18" s="1" customFormat="1" x14ac:dyDescent="0.3">
      <c r="F1030" s="12"/>
      <c r="H1030" s="12"/>
      <c r="N1030" s="31"/>
      <c r="O1030" s="31"/>
      <c r="P1030" s="30"/>
      <c r="Q1030" s="30"/>
      <c r="R1030" s="30"/>
    </row>
    <row r="1031" spans="6:18" s="1" customFormat="1" x14ac:dyDescent="0.3">
      <c r="F1031" s="12"/>
      <c r="H1031" s="12"/>
      <c r="N1031" s="31"/>
      <c r="O1031" s="31"/>
      <c r="P1031" s="30"/>
      <c r="Q1031" s="30"/>
      <c r="R1031" s="30"/>
    </row>
    <row r="1032" spans="6:18" s="1" customFormat="1" x14ac:dyDescent="0.3">
      <c r="F1032" s="12"/>
      <c r="H1032" s="12"/>
      <c r="N1032" s="31"/>
      <c r="O1032" s="31"/>
      <c r="P1032" s="30"/>
      <c r="Q1032" s="30"/>
      <c r="R1032" s="30"/>
    </row>
    <row r="1033" spans="6:18" s="1" customFormat="1" x14ac:dyDescent="0.3">
      <c r="F1033" s="12"/>
      <c r="H1033" s="12"/>
      <c r="N1033" s="31"/>
      <c r="O1033" s="31"/>
      <c r="P1033" s="30"/>
      <c r="Q1033" s="30"/>
      <c r="R1033" s="30"/>
    </row>
    <row r="1034" spans="6:18" s="1" customFormat="1" x14ac:dyDescent="0.3">
      <c r="F1034" s="12"/>
      <c r="H1034" s="12"/>
      <c r="N1034" s="31"/>
      <c r="O1034" s="31"/>
      <c r="P1034" s="30"/>
      <c r="Q1034" s="30"/>
      <c r="R1034" s="30"/>
    </row>
    <row r="1035" spans="6:18" s="1" customFormat="1" x14ac:dyDescent="0.3">
      <c r="F1035" s="12"/>
      <c r="H1035" s="12"/>
      <c r="N1035" s="31"/>
      <c r="O1035" s="31"/>
      <c r="P1035" s="30"/>
      <c r="Q1035" s="30"/>
      <c r="R1035" s="30"/>
    </row>
    <row r="1036" spans="6:18" s="1" customFormat="1" x14ac:dyDescent="0.3">
      <c r="F1036" s="12"/>
      <c r="H1036" s="12"/>
      <c r="N1036" s="31"/>
      <c r="O1036" s="31"/>
      <c r="P1036" s="30"/>
      <c r="Q1036" s="30"/>
      <c r="R1036" s="30"/>
    </row>
    <row r="1037" spans="6:18" s="1" customFormat="1" x14ac:dyDescent="0.3">
      <c r="F1037" s="12"/>
      <c r="H1037" s="12"/>
      <c r="N1037" s="31"/>
      <c r="O1037" s="31"/>
      <c r="P1037" s="30"/>
      <c r="Q1037" s="30"/>
      <c r="R1037" s="30"/>
    </row>
    <row r="1038" spans="6:18" s="1" customFormat="1" x14ac:dyDescent="0.3">
      <c r="F1038" s="12"/>
      <c r="H1038" s="12"/>
      <c r="N1038" s="31"/>
      <c r="O1038" s="31"/>
      <c r="P1038" s="30"/>
      <c r="Q1038" s="30"/>
      <c r="R1038" s="30"/>
    </row>
    <row r="1039" spans="6:18" s="1" customFormat="1" x14ac:dyDescent="0.3">
      <c r="F1039" s="12"/>
      <c r="H1039" s="12"/>
      <c r="N1039" s="31"/>
      <c r="O1039" s="31"/>
      <c r="P1039" s="30"/>
      <c r="Q1039" s="30"/>
      <c r="R1039" s="30"/>
    </row>
    <row r="1040" spans="6:18" s="1" customFormat="1" x14ac:dyDescent="0.3">
      <c r="F1040" s="12"/>
      <c r="H1040" s="12"/>
      <c r="N1040" s="31"/>
      <c r="O1040" s="31"/>
      <c r="P1040" s="30"/>
      <c r="Q1040" s="30"/>
      <c r="R1040" s="30"/>
    </row>
    <row r="1041" spans="6:18" s="1" customFormat="1" x14ac:dyDescent="0.3">
      <c r="F1041" s="12"/>
      <c r="H1041" s="12"/>
      <c r="N1041" s="31"/>
      <c r="O1041" s="31"/>
      <c r="P1041" s="30"/>
      <c r="Q1041" s="30"/>
      <c r="R1041" s="30"/>
    </row>
    <row r="1042" spans="6:18" s="1" customFormat="1" x14ac:dyDescent="0.3">
      <c r="F1042" s="12"/>
      <c r="H1042" s="12"/>
      <c r="N1042" s="31"/>
      <c r="O1042" s="31"/>
      <c r="P1042" s="30"/>
      <c r="Q1042" s="30"/>
      <c r="R1042" s="30"/>
    </row>
    <row r="1043" spans="6:18" s="1" customFormat="1" x14ac:dyDescent="0.3">
      <c r="F1043" s="12"/>
      <c r="H1043" s="12"/>
      <c r="N1043" s="31"/>
      <c r="O1043" s="31"/>
      <c r="P1043" s="30"/>
      <c r="Q1043" s="30"/>
      <c r="R1043" s="30"/>
    </row>
    <row r="1044" spans="6:18" s="1" customFormat="1" x14ac:dyDescent="0.3">
      <c r="F1044" s="12"/>
      <c r="H1044" s="12"/>
      <c r="N1044" s="31"/>
      <c r="O1044" s="31"/>
      <c r="P1044" s="30"/>
      <c r="Q1044" s="30"/>
      <c r="R1044" s="30"/>
    </row>
    <row r="1045" spans="6:18" s="1" customFormat="1" x14ac:dyDescent="0.3">
      <c r="F1045" s="12"/>
      <c r="H1045" s="12"/>
      <c r="N1045" s="31"/>
      <c r="O1045" s="31"/>
      <c r="P1045" s="30"/>
      <c r="Q1045" s="30"/>
      <c r="R1045" s="30"/>
    </row>
    <row r="1046" spans="6:18" s="1" customFormat="1" x14ac:dyDescent="0.3">
      <c r="F1046" s="12"/>
      <c r="H1046" s="12"/>
      <c r="N1046" s="31"/>
      <c r="O1046" s="31"/>
      <c r="P1046" s="30"/>
      <c r="Q1046" s="30"/>
      <c r="R1046" s="30"/>
    </row>
    <row r="1047" spans="6:18" s="1" customFormat="1" x14ac:dyDescent="0.3">
      <c r="F1047" s="12"/>
      <c r="H1047" s="12"/>
      <c r="N1047" s="31"/>
      <c r="O1047" s="31"/>
      <c r="P1047" s="30"/>
      <c r="Q1047" s="30"/>
      <c r="R1047" s="30"/>
    </row>
    <row r="1048" spans="6:18" s="1" customFormat="1" x14ac:dyDescent="0.3">
      <c r="F1048" s="12"/>
      <c r="H1048" s="12"/>
      <c r="N1048" s="31"/>
      <c r="O1048" s="31"/>
      <c r="P1048" s="30"/>
      <c r="Q1048" s="30"/>
      <c r="R1048" s="30"/>
    </row>
    <row r="1049" spans="6:18" s="1" customFormat="1" x14ac:dyDescent="0.3">
      <c r="F1049" s="12"/>
      <c r="H1049" s="12"/>
      <c r="N1049" s="31"/>
      <c r="O1049" s="31"/>
      <c r="P1049" s="30"/>
      <c r="Q1049" s="30"/>
      <c r="R1049" s="30"/>
    </row>
    <row r="1050" spans="6:18" s="1" customFormat="1" x14ac:dyDescent="0.3">
      <c r="F1050" s="12"/>
      <c r="H1050" s="12"/>
      <c r="N1050" s="31"/>
      <c r="O1050" s="31"/>
      <c r="P1050" s="30"/>
      <c r="Q1050" s="30"/>
      <c r="R1050" s="30"/>
    </row>
    <row r="1051" spans="6:18" s="1" customFormat="1" x14ac:dyDescent="0.3">
      <c r="F1051" s="12"/>
      <c r="H1051" s="12"/>
      <c r="N1051" s="31"/>
      <c r="O1051" s="31"/>
      <c r="P1051" s="30"/>
      <c r="Q1051" s="30"/>
      <c r="R1051" s="30"/>
    </row>
    <row r="1052" spans="6:18" s="1" customFormat="1" x14ac:dyDescent="0.3">
      <c r="F1052" s="12"/>
      <c r="H1052" s="12"/>
      <c r="N1052" s="31"/>
      <c r="O1052" s="31"/>
      <c r="P1052" s="30"/>
      <c r="Q1052" s="30"/>
      <c r="R1052" s="30"/>
    </row>
    <row r="1053" spans="6:18" s="1" customFormat="1" x14ac:dyDescent="0.3">
      <c r="F1053" s="12"/>
      <c r="H1053" s="12"/>
      <c r="N1053" s="31"/>
      <c r="O1053" s="31"/>
      <c r="P1053" s="30"/>
      <c r="Q1053" s="30"/>
      <c r="R1053" s="30"/>
    </row>
    <row r="1054" spans="6:18" s="1" customFormat="1" x14ac:dyDescent="0.3">
      <c r="F1054" s="12"/>
      <c r="H1054" s="12"/>
      <c r="N1054" s="31"/>
      <c r="O1054" s="31"/>
      <c r="P1054" s="30"/>
      <c r="Q1054" s="30"/>
      <c r="R1054" s="30"/>
    </row>
    <row r="1055" spans="6:18" s="1" customFormat="1" x14ac:dyDescent="0.3">
      <c r="F1055" s="12"/>
      <c r="H1055" s="12"/>
      <c r="N1055" s="31"/>
      <c r="O1055" s="31"/>
      <c r="P1055" s="30"/>
      <c r="Q1055" s="30"/>
      <c r="R1055" s="30"/>
    </row>
    <row r="1056" spans="6:18" s="1" customFormat="1" x14ac:dyDescent="0.3">
      <c r="F1056" s="12"/>
      <c r="H1056" s="12"/>
      <c r="N1056" s="31"/>
      <c r="O1056" s="31"/>
      <c r="P1056" s="30"/>
      <c r="Q1056" s="30"/>
      <c r="R1056" s="30"/>
    </row>
    <row r="1057" spans="6:18" s="1" customFormat="1" x14ac:dyDescent="0.3">
      <c r="F1057" s="12"/>
      <c r="H1057" s="12"/>
      <c r="N1057" s="31"/>
      <c r="O1057" s="31"/>
      <c r="P1057" s="30"/>
      <c r="Q1057" s="30"/>
      <c r="R1057" s="30"/>
    </row>
    <row r="1058" spans="6:18" s="1" customFormat="1" x14ac:dyDescent="0.3">
      <c r="F1058" s="12"/>
      <c r="H1058" s="12"/>
      <c r="N1058" s="31"/>
      <c r="O1058" s="31"/>
      <c r="P1058" s="30"/>
      <c r="Q1058" s="30"/>
      <c r="R1058" s="30"/>
    </row>
    <row r="1059" spans="6:18" s="1" customFormat="1" x14ac:dyDescent="0.3">
      <c r="F1059" s="12"/>
      <c r="H1059" s="12"/>
      <c r="N1059" s="31"/>
      <c r="O1059" s="31"/>
      <c r="P1059" s="30"/>
      <c r="Q1059" s="30"/>
      <c r="R1059" s="30"/>
    </row>
    <row r="1060" spans="6:18" s="1" customFormat="1" x14ac:dyDescent="0.3">
      <c r="F1060" s="12"/>
      <c r="H1060" s="12"/>
      <c r="N1060" s="31"/>
      <c r="O1060" s="31"/>
      <c r="P1060" s="30"/>
      <c r="Q1060" s="30"/>
      <c r="R1060" s="30"/>
    </row>
    <row r="1061" spans="6:18" s="1" customFormat="1" x14ac:dyDescent="0.3">
      <c r="F1061" s="12"/>
      <c r="H1061" s="12"/>
      <c r="N1061" s="31"/>
      <c r="O1061" s="31"/>
      <c r="P1061" s="30"/>
      <c r="Q1061" s="30"/>
      <c r="R1061" s="30"/>
    </row>
    <row r="1062" spans="6:18" s="1" customFormat="1" x14ac:dyDescent="0.3">
      <c r="F1062" s="12"/>
      <c r="H1062" s="12"/>
      <c r="N1062" s="31"/>
      <c r="O1062" s="31"/>
      <c r="P1062" s="30"/>
      <c r="Q1062" s="30"/>
      <c r="R1062" s="30"/>
    </row>
    <row r="1063" spans="6:18" s="1" customFormat="1" x14ac:dyDescent="0.3">
      <c r="F1063" s="12"/>
      <c r="H1063" s="12"/>
      <c r="N1063" s="31"/>
      <c r="O1063" s="31"/>
      <c r="P1063" s="30"/>
      <c r="Q1063" s="30"/>
      <c r="R1063" s="30"/>
    </row>
    <row r="1064" spans="6:18" s="1" customFormat="1" x14ac:dyDescent="0.3">
      <c r="F1064" s="12"/>
      <c r="H1064" s="12"/>
      <c r="N1064" s="31"/>
      <c r="O1064" s="31"/>
      <c r="P1064" s="30"/>
      <c r="Q1064" s="30"/>
      <c r="R1064" s="30"/>
    </row>
    <row r="1065" spans="6:18" s="1" customFormat="1" x14ac:dyDescent="0.3">
      <c r="F1065" s="12"/>
      <c r="H1065" s="12"/>
      <c r="N1065" s="31"/>
      <c r="O1065" s="31"/>
      <c r="P1065" s="30"/>
      <c r="Q1065" s="30"/>
      <c r="R1065" s="30"/>
    </row>
    <row r="1066" spans="6:18" s="1" customFormat="1" x14ac:dyDescent="0.3">
      <c r="F1066" s="12"/>
      <c r="H1066" s="12"/>
      <c r="N1066" s="31"/>
      <c r="O1066" s="31"/>
      <c r="P1066" s="30"/>
      <c r="Q1066" s="30"/>
      <c r="R1066" s="30"/>
    </row>
    <row r="1067" spans="6:18" s="1" customFormat="1" x14ac:dyDescent="0.3">
      <c r="F1067" s="12"/>
      <c r="H1067" s="12"/>
      <c r="N1067" s="31"/>
      <c r="O1067" s="31"/>
      <c r="P1067" s="30"/>
      <c r="Q1067" s="30"/>
      <c r="R1067" s="30"/>
    </row>
    <row r="1068" spans="6:18" s="1" customFormat="1" x14ac:dyDescent="0.3">
      <c r="F1068" s="12"/>
      <c r="H1068" s="12"/>
      <c r="N1068" s="31"/>
      <c r="O1068" s="31"/>
      <c r="P1068" s="30"/>
      <c r="Q1068" s="30"/>
      <c r="R1068" s="30"/>
    </row>
    <row r="1069" spans="6:18" s="1" customFormat="1" x14ac:dyDescent="0.3">
      <c r="F1069" s="12"/>
      <c r="H1069" s="12"/>
      <c r="N1069" s="31"/>
      <c r="O1069" s="31"/>
      <c r="P1069" s="30"/>
      <c r="Q1069" s="30"/>
      <c r="R1069" s="30"/>
    </row>
    <row r="1070" spans="6:18" s="1" customFormat="1" x14ac:dyDescent="0.3">
      <c r="F1070" s="12"/>
      <c r="H1070" s="12"/>
      <c r="N1070" s="31"/>
      <c r="O1070" s="31"/>
      <c r="P1070" s="30"/>
      <c r="Q1070" s="30"/>
      <c r="R1070" s="30"/>
    </row>
    <row r="1071" spans="6:18" s="1" customFormat="1" x14ac:dyDescent="0.3">
      <c r="F1071" s="12"/>
      <c r="H1071" s="12"/>
      <c r="N1071" s="31"/>
      <c r="O1071" s="31"/>
      <c r="P1071" s="30"/>
      <c r="Q1071" s="30"/>
      <c r="R1071" s="30"/>
    </row>
    <row r="1072" spans="6:18" s="1" customFormat="1" x14ac:dyDescent="0.3">
      <c r="F1072" s="12"/>
      <c r="H1072" s="12"/>
      <c r="N1072" s="31"/>
      <c r="O1072" s="31"/>
      <c r="P1072" s="30"/>
      <c r="Q1072" s="30"/>
      <c r="R1072" s="30"/>
    </row>
    <row r="1073" spans="6:18" s="1" customFormat="1" x14ac:dyDescent="0.3">
      <c r="F1073" s="12"/>
      <c r="H1073" s="12"/>
      <c r="N1073" s="31"/>
      <c r="O1073" s="31"/>
      <c r="P1073" s="30"/>
      <c r="Q1073" s="30"/>
      <c r="R1073" s="30"/>
    </row>
    <row r="1074" spans="6:18" s="1" customFormat="1" x14ac:dyDescent="0.3">
      <c r="F1074" s="12"/>
      <c r="H1074" s="12"/>
      <c r="N1074" s="31"/>
      <c r="O1074" s="31"/>
      <c r="P1074" s="30"/>
      <c r="Q1074" s="30"/>
      <c r="R1074" s="30"/>
    </row>
    <row r="1075" spans="6:18" s="1" customFormat="1" x14ac:dyDescent="0.3">
      <c r="F1075" s="12"/>
      <c r="H1075" s="12"/>
      <c r="N1075" s="31"/>
      <c r="O1075" s="31"/>
      <c r="P1075" s="30"/>
      <c r="Q1075" s="30"/>
      <c r="R1075" s="30"/>
    </row>
    <row r="1076" spans="6:18" s="1" customFormat="1" x14ac:dyDescent="0.3">
      <c r="F1076" s="12"/>
      <c r="H1076" s="12"/>
      <c r="N1076" s="31"/>
      <c r="O1076" s="31"/>
      <c r="P1076" s="30"/>
      <c r="Q1076" s="30"/>
      <c r="R1076" s="30"/>
    </row>
    <row r="1077" spans="6:18" s="1" customFormat="1" x14ac:dyDescent="0.3">
      <c r="F1077" s="12"/>
      <c r="H1077" s="12"/>
      <c r="N1077" s="31"/>
      <c r="O1077" s="31"/>
      <c r="P1077" s="30"/>
      <c r="Q1077" s="30"/>
      <c r="R1077" s="30"/>
    </row>
    <row r="1078" spans="6:18" s="1" customFormat="1" x14ac:dyDescent="0.3">
      <c r="F1078" s="12"/>
      <c r="H1078" s="12"/>
      <c r="N1078" s="31"/>
      <c r="O1078" s="31"/>
      <c r="P1078" s="30"/>
      <c r="Q1078" s="30"/>
      <c r="R1078" s="30"/>
    </row>
    <row r="1079" spans="6:18" s="1" customFormat="1" x14ac:dyDescent="0.3">
      <c r="F1079" s="12"/>
      <c r="H1079" s="12"/>
      <c r="N1079" s="31"/>
      <c r="O1079" s="31"/>
      <c r="P1079" s="30"/>
      <c r="Q1079" s="30"/>
      <c r="R1079" s="30"/>
    </row>
    <row r="1080" spans="6:18" s="1" customFormat="1" x14ac:dyDescent="0.3">
      <c r="F1080" s="12"/>
      <c r="H1080" s="12"/>
      <c r="N1080" s="31"/>
      <c r="O1080" s="31"/>
      <c r="P1080" s="30"/>
      <c r="Q1080" s="30"/>
      <c r="R1080" s="30"/>
    </row>
    <row r="1081" spans="6:18" s="1" customFormat="1" x14ac:dyDescent="0.3">
      <c r="F1081" s="12"/>
      <c r="H1081" s="12"/>
      <c r="N1081" s="31"/>
      <c r="O1081" s="31"/>
      <c r="P1081" s="30"/>
      <c r="Q1081" s="30"/>
      <c r="R1081" s="30"/>
    </row>
    <row r="1082" spans="6:18" s="1" customFormat="1" x14ac:dyDescent="0.3">
      <c r="F1082" s="12"/>
      <c r="H1082" s="12"/>
      <c r="N1082" s="31"/>
      <c r="O1082" s="31"/>
      <c r="P1082" s="30"/>
      <c r="Q1082" s="30"/>
      <c r="R1082" s="30"/>
    </row>
    <row r="1083" spans="6:18" s="1" customFormat="1" x14ac:dyDescent="0.3">
      <c r="F1083" s="12"/>
      <c r="H1083" s="12"/>
      <c r="N1083" s="31"/>
      <c r="O1083" s="31"/>
      <c r="P1083" s="30"/>
      <c r="Q1083" s="30"/>
      <c r="R1083" s="30"/>
    </row>
    <row r="1084" spans="6:18" s="1" customFormat="1" x14ac:dyDescent="0.3">
      <c r="F1084" s="12"/>
      <c r="H1084" s="12"/>
      <c r="N1084" s="31"/>
      <c r="O1084" s="31"/>
      <c r="P1084" s="30"/>
      <c r="Q1084" s="30"/>
      <c r="R1084" s="30"/>
    </row>
    <row r="1085" spans="6:18" s="1" customFormat="1" x14ac:dyDescent="0.3">
      <c r="F1085" s="12"/>
      <c r="H1085" s="12"/>
      <c r="N1085" s="31"/>
      <c r="O1085" s="31"/>
      <c r="P1085" s="30"/>
      <c r="Q1085" s="30"/>
      <c r="R1085" s="30"/>
    </row>
    <row r="1086" spans="6:18" s="1" customFormat="1" x14ac:dyDescent="0.3">
      <c r="F1086" s="12"/>
      <c r="H1086" s="12"/>
      <c r="N1086" s="31"/>
      <c r="O1086" s="31"/>
      <c r="P1086" s="30"/>
      <c r="Q1086" s="30"/>
      <c r="R1086" s="30"/>
    </row>
    <row r="1087" spans="6:18" s="1" customFormat="1" x14ac:dyDescent="0.3">
      <c r="F1087" s="12"/>
      <c r="H1087" s="12"/>
      <c r="N1087" s="31"/>
      <c r="O1087" s="31"/>
      <c r="P1087" s="30"/>
      <c r="Q1087" s="30"/>
      <c r="R1087" s="30"/>
    </row>
    <row r="1088" spans="6:18" s="1" customFormat="1" x14ac:dyDescent="0.3">
      <c r="F1088" s="12"/>
      <c r="H1088" s="12"/>
      <c r="N1088" s="31"/>
      <c r="O1088" s="31"/>
      <c r="P1088" s="30"/>
      <c r="Q1088" s="30"/>
      <c r="R1088" s="30"/>
    </row>
    <row r="1089" spans="6:18" s="1" customFormat="1" x14ac:dyDescent="0.3">
      <c r="F1089" s="12"/>
      <c r="H1089" s="12"/>
      <c r="N1089" s="31"/>
      <c r="O1089" s="31"/>
      <c r="P1089" s="30"/>
      <c r="Q1089" s="30"/>
      <c r="R1089" s="30"/>
    </row>
    <row r="1090" spans="6:18" s="1" customFormat="1" x14ac:dyDescent="0.3">
      <c r="F1090" s="12"/>
      <c r="H1090" s="12"/>
      <c r="N1090" s="31"/>
      <c r="O1090" s="31"/>
      <c r="P1090" s="30"/>
      <c r="Q1090" s="30"/>
      <c r="R1090" s="30"/>
    </row>
    <row r="1091" spans="6:18" s="1" customFormat="1" x14ac:dyDescent="0.3">
      <c r="F1091" s="12"/>
      <c r="H1091" s="12"/>
      <c r="N1091" s="31"/>
      <c r="O1091" s="31"/>
      <c r="P1091" s="30"/>
      <c r="Q1091" s="30"/>
      <c r="R1091" s="30"/>
    </row>
    <row r="1092" spans="6:18" s="1" customFormat="1" x14ac:dyDescent="0.3">
      <c r="F1092" s="12"/>
      <c r="H1092" s="12"/>
      <c r="N1092" s="31"/>
      <c r="O1092" s="31"/>
      <c r="P1092" s="30"/>
      <c r="Q1092" s="30"/>
      <c r="R1092" s="30"/>
    </row>
    <row r="1093" spans="6:18" s="1" customFormat="1" x14ac:dyDescent="0.3">
      <c r="F1093" s="12"/>
      <c r="H1093" s="12"/>
      <c r="N1093" s="31"/>
      <c r="O1093" s="31"/>
      <c r="P1093" s="30"/>
      <c r="Q1093" s="30"/>
      <c r="R1093" s="30"/>
    </row>
    <row r="1094" spans="6:18" s="1" customFormat="1" x14ac:dyDescent="0.3">
      <c r="F1094" s="12"/>
      <c r="H1094" s="12"/>
      <c r="N1094" s="31"/>
      <c r="O1094" s="31"/>
      <c r="P1094" s="30"/>
      <c r="Q1094" s="30"/>
      <c r="R1094" s="30"/>
    </row>
    <row r="1095" spans="6:18" s="1" customFormat="1" x14ac:dyDescent="0.3">
      <c r="F1095" s="12"/>
      <c r="H1095" s="12"/>
      <c r="N1095" s="31"/>
      <c r="O1095" s="31"/>
      <c r="P1095" s="30"/>
      <c r="Q1095" s="30"/>
      <c r="R1095" s="30"/>
    </row>
    <row r="1096" spans="6:18" s="1" customFormat="1" x14ac:dyDescent="0.3">
      <c r="F1096" s="12"/>
      <c r="H1096" s="12"/>
      <c r="N1096" s="31"/>
      <c r="O1096" s="31"/>
      <c r="P1096" s="30"/>
      <c r="Q1096" s="30"/>
      <c r="R1096" s="30"/>
    </row>
    <row r="1097" spans="6:18" s="1" customFormat="1" x14ac:dyDescent="0.3">
      <c r="F1097" s="12"/>
      <c r="H1097" s="12"/>
      <c r="N1097" s="31"/>
      <c r="O1097" s="31"/>
      <c r="P1097" s="30"/>
      <c r="Q1097" s="30"/>
      <c r="R1097" s="30"/>
    </row>
    <row r="1098" spans="6:18" s="1" customFormat="1" x14ac:dyDescent="0.3">
      <c r="F1098" s="12"/>
      <c r="H1098" s="12"/>
      <c r="N1098" s="31"/>
      <c r="O1098" s="31"/>
      <c r="P1098" s="30"/>
      <c r="Q1098" s="30"/>
      <c r="R1098" s="30"/>
    </row>
    <row r="1099" spans="6:18" s="1" customFormat="1" x14ac:dyDescent="0.3">
      <c r="F1099" s="12"/>
      <c r="H1099" s="12"/>
      <c r="N1099" s="31"/>
      <c r="O1099" s="31"/>
      <c r="P1099" s="30"/>
      <c r="Q1099" s="30"/>
      <c r="R1099" s="30"/>
    </row>
    <row r="1100" spans="6:18" s="1" customFormat="1" x14ac:dyDescent="0.3">
      <c r="F1100" s="12"/>
      <c r="H1100" s="12"/>
      <c r="N1100" s="31"/>
      <c r="O1100" s="31"/>
      <c r="P1100" s="30"/>
      <c r="Q1100" s="30"/>
      <c r="R1100" s="30"/>
    </row>
    <row r="1101" spans="6:18" s="1" customFormat="1" x14ac:dyDescent="0.3">
      <c r="F1101" s="12"/>
      <c r="H1101" s="12"/>
      <c r="N1101" s="31"/>
      <c r="O1101" s="31"/>
      <c r="P1101" s="30"/>
      <c r="Q1101" s="30"/>
      <c r="R1101" s="30"/>
    </row>
    <row r="1102" spans="6:18" s="1" customFormat="1" x14ac:dyDescent="0.3">
      <c r="F1102" s="12"/>
      <c r="H1102" s="12"/>
      <c r="N1102" s="31"/>
      <c r="O1102" s="31"/>
      <c r="P1102" s="30"/>
      <c r="Q1102" s="30"/>
      <c r="R1102" s="30"/>
    </row>
    <row r="1103" spans="6:18" s="1" customFormat="1" x14ac:dyDescent="0.3">
      <c r="F1103" s="12"/>
      <c r="H1103" s="12"/>
      <c r="N1103" s="31"/>
      <c r="O1103" s="31"/>
      <c r="P1103" s="30"/>
      <c r="Q1103" s="30"/>
      <c r="R1103" s="30"/>
    </row>
    <row r="1104" spans="6:18" s="1" customFormat="1" x14ac:dyDescent="0.3">
      <c r="F1104" s="12"/>
      <c r="H1104" s="12"/>
      <c r="N1104" s="31"/>
      <c r="O1104" s="31"/>
      <c r="P1104" s="30"/>
      <c r="Q1104" s="30"/>
      <c r="R1104" s="30"/>
    </row>
    <row r="1105" spans="6:18" s="1" customFormat="1" x14ac:dyDescent="0.3">
      <c r="F1105" s="12"/>
      <c r="H1105" s="12"/>
      <c r="N1105" s="31"/>
      <c r="O1105" s="31"/>
      <c r="P1105" s="30"/>
      <c r="Q1105" s="30"/>
      <c r="R1105" s="30"/>
    </row>
    <row r="1106" spans="6:18" s="1" customFormat="1" x14ac:dyDescent="0.3">
      <c r="F1106" s="12"/>
      <c r="H1106" s="12"/>
      <c r="N1106" s="31"/>
      <c r="O1106" s="31"/>
      <c r="P1106" s="30"/>
      <c r="Q1106" s="30"/>
      <c r="R1106" s="30"/>
    </row>
    <row r="1107" spans="6:18" s="1" customFormat="1" x14ac:dyDescent="0.3">
      <c r="F1107" s="12"/>
      <c r="H1107" s="12"/>
      <c r="N1107" s="31"/>
      <c r="O1107" s="31"/>
      <c r="P1107" s="30"/>
      <c r="Q1107" s="30"/>
      <c r="R1107" s="30"/>
    </row>
    <row r="1108" spans="6:18" s="1" customFormat="1" x14ac:dyDescent="0.3">
      <c r="F1108" s="12"/>
      <c r="H1108" s="12"/>
      <c r="N1108" s="31"/>
      <c r="O1108" s="31"/>
      <c r="P1108" s="30"/>
      <c r="Q1108" s="30"/>
      <c r="R1108" s="30"/>
    </row>
    <row r="1109" spans="6:18" s="1" customFormat="1" x14ac:dyDescent="0.3">
      <c r="F1109" s="12"/>
      <c r="H1109" s="12"/>
      <c r="N1109" s="31"/>
      <c r="O1109" s="31"/>
      <c r="P1109" s="30"/>
      <c r="Q1109" s="30"/>
      <c r="R1109" s="30"/>
    </row>
    <row r="1110" spans="6:18" s="1" customFormat="1" x14ac:dyDescent="0.3">
      <c r="F1110" s="12"/>
      <c r="H1110" s="12"/>
      <c r="N1110" s="31"/>
      <c r="O1110" s="31"/>
      <c r="P1110" s="30"/>
      <c r="Q1110" s="30"/>
      <c r="R1110" s="30"/>
    </row>
    <row r="1111" spans="6:18" s="1" customFormat="1" x14ac:dyDescent="0.3">
      <c r="F1111" s="12"/>
      <c r="H1111" s="12"/>
      <c r="N1111" s="31"/>
      <c r="O1111" s="31"/>
      <c r="P1111" s="30"/>
      <c r="Q1111" s="30"/>
      <c r="R1111" s="30"/>
    </row>
    <row r="1112" spans="6:18" s="1" customFormat="1" x14ac:dyDescent="0.3">
      <c r="F1112" s="12"/>
      <c r="H1112" s="12"/>
      <c r="N1112" s="31"/>
      <c r="O1112" s="31"/>
      <c r="P1112" s="30"/>
      <c r="Q1112" s="30"/>
      <c r="R1112" s="30"/>
    </row>
    <row r="1113" spans="6:18" s="1" customFormat="1" x14ac:dyDescent="0.3">
      <c r="F1113" s="12"/>
      <c r="H1113" s="12"/>
      <c r="N1113" s="31"/>
      <c r="O1113" s="31"/>
      <c r="P1113" s="30"/>
      <c r="Q1113" s="30"/>
      <c r="R1113" s="30"/>
    </row>
    <row r="1114" spans="6:18" s="1" customFormat="1" x14ac:dyDescent="0.3">
      <c r="F1114" s="12"/>
      <c r="H1114" s="12"/>
      <c r="N1114" s="31"/>
      <c r="O1114" s="31"/>
      <c r="P1114" s="30"/>
      <c r="Q1114" s="30"/>
      <c r="R1114" s="30"/>
    </row>
    <row r="1115" spans="6:18" s="1" customFormat="1" x14ac:dyDescent="0.3">
      <c r="F1115" s="12"/>
      <c r="H1115" s="12"/>
      <c r="N1115" s="31"/>
      <c r="O1115" s="31"/>
      <c r="P1115" s="30"/>
      <c r="Q1115" s="30"/>
      <c r="R1115" s="30"/>
    </row>
    <row r="1116" spans="6:18" s="1" customFormat="1" x14ac:dyDescent="0.3">
      <c r="F1116" s="12"/>
      <c r="H1116" s="12"/>
      <c r="N1116" s="31"/>
      <c r="O1116" s="31"/>
      <c r="P1116" s="30"/>
      <c r="Q1116" s="30"/>
      <c r="R1116" s="30"/>
    </row>
    <row r="1117" spans="6:18" s="1" customFormat="1" x14ac:dyDescent="0.3">
      <c r="F1117" s="12"/>
      <c r="H1117" s="12"/>
      <c r="N1117" s="31"/>
      <c r="O1117" s="31"/>
      <c r="P1117" s="30"/>
      <c r="Q1117" s="30"/>
      <c r="R1117" s="30"/>
    </row>
    <row r="1118" spans="6:18" s="1" customFormat="1" x14ac:dyDescent="0.3">
      <c r="F1118" s="12"/>
      <c r="H1118" s="12"/>
      <c r="N1118" s="31"/>
      <c r="O1118" s="31"/>
      <c r="P1118" s="30"/>
      <c r="Q1118" s="30"/>
      <c r="R1118" s="30"/>
    </row>
    <row r="1119" spans="6:18" s="1" customFormat="1" x14ac:dyDescent="0.3">
      <c r="F1119" s="12"/>
      <c r="H1119" s="12"/>
      <c r="N1119" s="31"/>
      <c r="O1119" s="31"/>
      <c r="P1119" s="30"/>
      <c r="Q1119" s="30"/>
      <c r="R1119" s="30"/>
    </row>
    <row r="1120" spans="6:18" s="1" customFormat="1" x14ac:dyDescent="0.3">
      <c r="F1120" s="12"/>
      <c r="H1120" s="12"/>
      <c r="N1120" s="31"/>
      <c r="O1120" s="31"/>
      <c r="P1120" s="30"/>
      <c r="Q1120" s="30"/>
      <c r="R1120" s="30"/>
    </row>
    <row r="1121" spans="6:18" s="1" customFormat="1" x14ac:dyDescent="0.3">
      <c r="F1121" s="12"/>
      <c r="H1121" s="12"/>
      <c r="N1121" s="31"/>
      <c r="O1121" s="31"/>
      <c r="P1121" s="30"/>
      <c r="Q1121" s="30"/>
      <c r="R1121" s="30"/>
    </row>
    <row r="1122" spans="6:18" s="1" customFormat="1" x14ac:dyDescent="0.3">
      <c r="F1122" s="12"/>
      <c r="H1122" s="12"/>
      <c r="N1122" s="31"/>
      <c r="O1122" s="31"/>
      <c r="P1122" s="30"/>
      <c r="Q1122" s="30"/>
      <c r="R1122" s="30"/>
    </row>
    <row r="1123" spans="6:18" s="1" customFormat="1" x14ac:dyDescent="0.3">
      <c r="F1123" s="12"/>
      <c r="H1123" s="12"/>
      <c r="N1123" s="31"/>
      <c r="O1123" s="31"/>
      <c r="P1123" s="30"/>
      <c r="Q1123" s="30"/>
      <c r="R1123" s="30"/>
    </row>
    <row r="1124" spans="6:18" s="1" customFormat="1" x14ac:dyDescent="0.3">
      <c r="F1124" s="12"/>
      <c r="H1124" s="12"/>
      <c r="N1124" s="31"/>
      <c r="O1124" s="31"/>
      <c r="P1124" s="30"/>
      <c r="Q1124" s="30"/>
      <c r="R1124" s="30"/>
    </row>
    <row r="1125" spans="6:18" s="1" customFormat="1" x14ac:dyDescent="0.3">
      <c r="F1125" s="12"/>
      <c r="H1125" s="12"/>
      <c r="N1125" s="31"/>
      <c r="O1125" s="31"/>
      <c r="P1125" s="30"/>
      <c r="Q1125" s="30"/>
      <c r="R1125" s="30"/>
    </row>
    <row r="1126" spans="6:18" s="1" customFormat="1" x14ac:dyDescent="0.3">
      <c r="F1126" s="12"/>
      <c r="H1126" s="12"/>
      <c r="N1126" s="31"/>
      <c r="O1126" s="31"/>
      <c r="P1126" s="30"/>
      <c r="Q1126" s="30"/>
      <c r="R1126" s="30"/>
    </row>
    <row r="1127" spans="6:18" s="1" customFormat="1" x14ac:dyDescent="0.3">
      <c r="F1127" s="12"/>
      <c r="H1127" s="12"/>
      <c r="N1127" s="31"/>
      <c r="O1127" s="31"/>
      <c r="P1127" s="30"/>
      <c r="Q1127" s="30"/>
      <c r="R1127" s="30"/>
    </row>
    <row r="1128" spans="6:18" s="1" customFormat="1" x14ac:dyDescent="0.3">
      <c r="F1128" s="12"/>
      <c r="H1128" s="12"/>
      <c r="N1128" s="31"/>
      <c r="O1128" s="31"/>
      <c r="P1128" s="30"/>
      <c r="Q1128" s="30"/>
      <c r="R1128" s="30"/>
    </row>
    <row r="1129" spans="6:18" s="1" customFormat="1" x14ac:dyDescent="0.3">
      <c r="F1129" s="12"/>
      <c r="H1129" s="12"/>
      <c r="N1129" s="31"/>
      <c r="O1129" s="31"/>
      <c r="P1129" s="30"/>
      <c r="Q1129" s="30"/>
      <c r="R1129" s="30"/>
    </row>
    <row r="1130" spans="6:18" s="1" customFormat="1" x14ac:dyDescent="0.3">
      <c r="F1130" s="12"/>
      <c r="H1130" s="12"/>
      <c r="N1130" s="31"/>
      <c r="O1130" s="31"/>
      <c r="P1130" s="30"/>
      <c r="Q1130" s="30"/>
      <c r="R1130" s="30"/>
    </row>
    <row r="1131" spans="6:18" s="1" customFormat="1" x14ac:dyDescent="0.3">
      <c r="F1131" s="12"/>
      <c r="H1131" s="12"/>
      <c r="N1131" s="31"/>
      <c r="O1131" s="31"/>
      <c r="P1131" s="30"/>
      <c r="Q1131" s="30"/>
      <c r="R1131" s="30"/>
    </row>
    <row r="1132" spans="6:18" s="1" customFormat="1" x14ac:dyDescent="0.3">
      <c r="F1132" s="12"/>
      <c r="H1132" s="12"/>
      <c r="N1132" s="31"/>
      <c r="O1132" s="31"/>
      <c r="P1132" s="30"/>
      <c r="Q1132" s="30"/>
      <c r="R1132" s="30"/>
    </row>
    <row r="1133" spans="6:18" s="1" customFormat="1" x14ac:dyDescent="0.3">
      <c r="F1133" s="12"/>
      <c r="H1133" s="12"/>
      <c r="N1133" s="31"/>
      <c r="O1133" s="31"/>
      <c r="P1133" s="30"/>
      <c r="Q1133" s="30"/>
      <c r="R1133" s="30"/>
    </row>
    <row r="1134" spans="6:18" s="1" customFormat="1" x14ac:dyDescent="0.3">
      <c r="F1134" s="12"/>
      <c r="H1134" s="12"/>
      <c r="N1134" s="31"/>
      <c r="O1134" s="31"/>
      <c r="P1134" s="30"/>
      <c r="Q1134" s="30"/>
      <c r="R1134" s="30"/>
    </row>
    <row r="1135" spans="6:18" s="1" customFormat="1" x14ac:dyDescent="0.3">
      <c r="F1135" s="12"/>
      <c r="H1135" s="12"/>
      <c r="N1135" s="31"/>
      <c r="O1135" s="31"/>
      <c r="P1135" s="30"/>
      <c r="Q1135" s="30"/>
      <c r="R1135" s="30"/>
    </row>
    <row r="1136" spans="6:18" s="1" customFormat="1" x14ac:dyDescent="0.3">
      <c r="F1136" s="12"/>
      <c r="H1136" s="12"/>
      <c r="N1136" s="31"/>
      <c r="O1136" s="31"/>
      <c r="P1136" s="30"/>
      <c r="Q1136" s="30"/>
      <c r="R1136" s="30"/>
    </row>
    <row r="1137" spans="6:18" s="1" customFormat="1" x14ac:dyDescent="0.3">
      <c r="F1137" s="12"/>
      <c r="H1137" s="12"/>
      <c r="N1137" s="31"/>
      <c r="O1137" s="31"/>
      <c r="P1137" s="30"/>
      <c r="Q1137" s="30"/>
      <c r="R1137" s="30"/>
    </row>
    <row r="1138" spans="6:18" s="1" customFormat="1" x14ac:dyDescent="0.3">
      <c r="F1138" s="12"/>
      <c r="H1138" s="12"/>
      <c r="N1138" s="31"/>
      <c r="O1138" s="31"/>
      <c r="P1138" s="30"/>
      <c r="Q1138" s="30"/>
      <c r="R1138" s="30"/>
    </row>
    <row r="1139" spans="6:18" s="1" customFormat="1" x14ac:dyDescent="0.3">
      <c r="F1139" s="12"/>
      <c r="H1139" s="12"/>
      <c r="N1139" s="31"/>
      <c r="O1139" s="31"/>
      <c r="P1139" s="30"/>
      <c r="Q1139" s="30"/>
      <c r="R1139" s="30"/>
    </row>
    <row r="1140" spans="6:18" s="1" customFormat="1" x14ac:dyDescent="0.3">
      <c r="F1140" s="12"/>
      <c r="H1140" s="12"/>
      <c r="N1140" s="31"/>
      <c r="O1140" s="31"/>
      <c r="P1140" s="30"/>
      <c r="Q1140" s="30"/>
      <c r="R1140" s="30"/>
    </row>
    <row r="1141" spans="6:18" s="1" customFormat="1" x14ac:dyDescent="0.3">
      <c r="F1141" s="12"/>
      <c r="H1141" s="12"/>
      <c r="N1141" s="31"/>
      <c r="O1141" s="31"/>
      <c r="P1141" s="30"/>
      <c r="Q1141" s="30"/>
      <c r="R1141" s="30"/>
    </row>
    <row r="1142" spans="6:18" s="1" customFormat="1" x14ac:dyDescent="0.3">
      <c r="F1142" s="12"/>
      <c r="H1142" s="12"/>
      <c r="N1142" s="31"/>
      <c r="O1142" s="31"/>
      <c r="P1142" s="30"/>
      <c r="Q1142" s="30"/>
      <c r="R1142" s="30"/>
    </row>
    <row r="1143" spans="6:18" s="1" customFormat="1" x14ac:dyDescent="0.3">
      <c r="F1143" s="12"/>
      <c r="H1143" s="12"/>
      <c r="N1143" s="31"/>
      <c r="O1143" s="31"/>
      <c r="P1143" s="30"/>
      <c r="Q1143" s="30"/>
      <c r="R1143" s="30"/>
    </row>
    <row r="1144" spans="6:18" s="1" customFormat="1" x14ac:dyDescent="0.3">
      <c r="F1144" s="12"/>
      <c r="H1144" s="12"/>
      <c r="N1144" s="31"/>
      <c r="O1144" s="31"/>
      <c r="P1144" s="30"/>
      <c r="Q1144" s="30"/>
      <c r="R1144" s="30"/>
    </row>
    <row r="1145" spans="6:18" s="1" customFormat="1" x14ac:dyDescent="0.3">
      <c r="F1145" s="12"/>
      <c r="H1145" s="12"/>
      <c r="N1145" s="31"/>
      <c r="O1145" s="31"/>
      <c r="P1145" s="30"/>
      <c r="Q1145" s="30"/>
      <c r="R1145" s="30"/>
    </row>
    <row r="1146" spans="6:18" s="1" customFormat="1" x14ac:dyDescent="0.3">
      <c r="F1146" s="12"/>
      <c r="H1146" s="12"/>
      <c r="N1146" s="31"/>
      <c r="O1146" s="31"/>
      <c r="P1146" s="30"/>
      <c r="Q1146" s="30"/>
      <c r="R1146" s="30"/>
    </row>
    <row r="1147" spans="6:18" s="1" customFormat="1" x14ac:dyDescent="0.3">
      <c r="F1147" s="12"/>
      <c r="H1147" s="12"/>
      <c r="N1147" s="31"/>
      <c r="O1147" s="31"/>
      <c r="P1147" s="30"/>
      <c r="Q1147" s="30"/>
      <c r="R1147" s="30"/>
    </row>
    <row r="1148" spans="6:18" s="1" customFormat="1" x14ac:dyDescent="0.3">
      <c r="F1148" s="12"/>
      <c r="H1148" s="12"/>
      <c r="N1148" s="31"/>
      <c r="O1148" s="31"/>
      <c r="P1148" s="30"/>
      <c r="Q1148" s="30"/>
      <c r="R1148" s="30"/>
    </row>
    <row r="1149" spans="6:18" s="1" customFormat="1" x14ac:dyDescent="0.3">
      <c r="F1149" s="12"/>
      <c r="H1149" s="12"/>
      <c r="N1149" s="31"/>
      <c r="O1149" s="31"/>
      <c r="P1149" s="30"/>
      <c r="Q1149" s="30"/>
      <c r="R1149" s="30"/>
    </row>
    <row r="1150" spans="6:18" s="1" customFormat="1" x14ac:dyDescent="0.3">
      <c r="F1150" s="12"/>
      <c r="H1150" s="12"/>
      <c r="N1150" s="31"/>
      <c r="O1150" s="31"/>
      <c r="P1150" s="30"/>
      <c r="Q1150" s="30"/>
      <c r="R1150" s="30"/>
    </row>
    <row r="1151" spans="6:18" s="1" customFormat="1" x14ac:dyDescent="0.3">
      <c r="F1151" s="12"/>
      <c r="H1151" s="12"/>
      <c r="N1151" s="31"/>
      <c r="O1151" s="31"/>
      <c r="P1151" s="30"/>
      <c r="Q1151" s="30"/>
      <c r="R1151" s="30"/>
    </row>
    <row r="1152" spans="6:18" s="1" customFormat="1" x14ac:dyDescent="0.3">
      <c r="F1152" s="12"/>
      <c r="H1152" s="12"/>
      <c r="N1152" s="31"/>
      <c r="O1152" s="31"/>
      <c r="P1152" s="30"/>
      <c r="Q1152" s="30"/>
      <c r="R1152" s="30"/>
    </row>
    <row r="1153" spans="6:18" s="1" customFormat="1" x14ac:dyDescent="0.3">
      <c r="F1153" s="12"/>
      <c r="H1153" s="12"/>
      <c r="N1153" s="31"/>
      <c r="O1153" s="31"/>
      <c r="P1153" s="30"/>
      <c r="Q1153" s="30"/>
      <c r="R1153" s="30"/>
    </row>
    <row r="1154" spans="6:18" s="1" customFormat="1" x14ac:dyDescent="0.3">
      <c r="F1154" s="12"/>
      <c r="H1154" s="12"/>
      <c r="N1154" s="31"/>
      <c r="O1154" s="31"/>
      <c r="P1154" s="30"/>
      <c r="Q1154" s="30"/>
      <c r="R1154" s="30"/>
    </row>
    <row r="1155" spans="6:18" s="1" customFormat="1" x14ac:dyDescent="0.3">
      <c r="F1155" s="12"/>
      <c r="H1155" s="12"/>
      <c r="N1155" s="31"/>
      <c r="O1155" s="31"/>
      <c r="P1155" s="30"/>
      <c r="Q1155" s="30"/>
      <c r="R1155" s="30"/>
    </row>
    <row r="1156" spans="6:18" s="1" customFormat="1" x14ac:dyDescent="0.3">
      <c r="F1156" s="12"/>
      <c r="H1156" s="12"/>
      <c r="N1156" s="31"/>
      <c r="O1156" s="31"/>
      <c r="P1156" s="30"/>
      <c r="Q1156" s="30"/>
      <c r="R1156" s="30"/>
    </row>
    <row r="1157" spans="6:18" s="1" customFormat="1" x14ac:dyDescent="0.3">
      <c r="F1157" s="12"/>
      <c r="H1157" s="12"/>
      <c r="N1157" s="31"/>
      <c r="O1157" s="31"/>
      <c r="P1157" s="30"/>
      <c r="Q1157" s="30"/>
      <c r="R1157" s="30"/>
    </row>
    <row r="1158" spans="6:18" s="1" customFormat="1" x14ac:dyDescent="0.3">
      <c r="F1158" s="12"/>
      <c r="H1158" s="12"/>
      <c r="N1158" s="31"/>
      <c r="O1158" s="31"/>
      <c r="P1158" s="30"/>
      <c r="Q1158" s="30"/>
      <c r="R1158" s="30"/>
    </row>
    <row r="1159" spans="6:18" s="1" customFormat="1" x14ac:dyDescent="0.3">
      <c r="F1159" s="12"/>
      <c r="H1159" s="12"/>
      <c r="N1159" s="31"/>
      <c r="O1159" s="31"/>
      <c r="P1159" s="30"/>
      <c r="Q1159" s="30"/>
      <c r="R1159" s="30"/>
    </row>
    <row r="1160" spans="6:18" s="1" customFormat="1" x14ac:dyDescent="0.3">
      <c r="F1160" s="12"/>
      <c r="H1160" s="12"/>
      <c r="N1160" s="31"/>
      <c r="O1160" s="31"/>
      <c r="P1160" s="30"/>
      <c r="Q1160" s="30"/>
      <c r="R1160" s="30"/>
    </row>
    <row r="1161" spans="6:18" s="1" customFormat="1" x14ac:dyDescent="0.3">
      <c r="F1161" s="12"/>
      <c r="H1161" s="12"/>
      <c r="N1161" s="31"/>
      <c r="O1161" s="31"/>
      <c r="P1161" s="30"/>
      <c r="Q1161" s="30"/>
      <c r="R1161" s="30"/>
    </row>
    <row r="1162" spans="6:18" s="1" customFormat="1" x14ac:dyDescent="0.3">
      <c r="F1162" s="12"/>
      <c r="H1162" s="12"/>
      <c r="N1162" s="31"/>
      <c r="O1162" s="31"/>
      <c r="P1162" s="30"/>
      <c r="Q1162" s="30"/>
      <c r="R1162" s="30"/>
    </row>
    <row r="1163" spans="6:18" s="1" customFormat="1" x14ac:dyDescent="0.3">
      <c r="F1163" s="12"/>
      <c r="H1163" s="12"/>
      <c r="N1163" s="31"/>
      <c r="O1163" s="31"/>
      <c r="P1163" s="30"/>
      <c r="Q1163" s="30"/>
      <c r="R1163" s="30"/>
    </row>
    <row r="1164" spans="6:18" s="1" customFormat="1" x14ac:dyDescent="0.3">
      <c r="F1164" s="12"/>
      <c r="H1164" s="12"/>
      <c r="N1164" s="31"/>
      <c r="O1164" s="31"/>
      <c r="P1164" s="30"/>
      <c r="Q1164" s="30"/>
      <c r="R1164" s="30"/>
    </row>
    <row r="1165" spans="6:18" s="1" customFormat="1" x14ac:dyDescent="0.3">
      <c r="F1165" s="12"/>
      <c r="H1165" s="12"/>
      <c r="N1165" s="31"/>
      <c r="O1165" s="31"/>
      <c r="P1165" s="30"/>
      <c r="Q1165" s="30"/>
      <c r="R1165" s="30"/>
    </row>
    <row r="1166" spans="6:18" s="1" customFormat="1" x14ac:dyDescent="0.3">
      <c r="F1166" s="12"/>
      <c r="H1166" s="12"/>
      <c r="N1166" s="31"/>
      <c r="O1166" s="31"/>
      <c r="P1166" s="30"/>
      <c r="Q1166" s="30"/>
      <c r="R1166" s="30"/>
    </row>
    <row r="1167" spans="6:18" s="1" customFormat="1" x14ac:dyDescent="0.3">
      <c r="F1167" s="12"/>
      <c r="H1167" s="12"/>
      <c r="N1167" s="31"/>
      <c r="O1167" s="31"/>
      <c r="P1167" s="30"/>
      <c r="Q1167" s="30"/>
      <c r="R1167" s="30"/>
    </row>
    <row r="1168" spans="6:18" s="1" customFormat="1" x14ac:dyDescent="0.3">
      <c r="F1168" s="12"/>
      <c r="H1168" s="12"/>
      <c r="N1168" s="31"/>
      <c r="O1168" s="31"/>
      <c r="P1168" s="30"/>
      <c r="Q1168" s="30"/>
      <c r="R1168" s="30"/>
    </row>
    <row r="1169" spans="6:18" s="1" customFormat="1" x14ac:dyDescent="0.3">
      <c r="F1169" s="12"/>
      <c r="H1169" s="12"/>
      <c r="N1169" s="31"/>
      <c r="O1169" s="31"/>
      <c r="P1169" s="30"/>
      <c r="Q1169" s="30"/>
      <c r="R1169" s="30"/>
    </row>
    <row r="1170" spans="6:18" s="1" customFormat="1" x14ac:dyDescent="0.3">
      <c r="F1170" s="12"/>
      <c r="H1170" s="12"/>
      <c r="N1170" s="31"/>
      <c r="O1170" s="31"/>
      <c r="P1170" s="30"/>
      <c r="Q1170" s="30"/>
      <c r="R1170" s="30"/>
    </row>
    <row r="1171" spans="6:18" s="1" customFormat="1" x14ac:dyDescent="0.3">
      <c r="F1171" s="12"/>
      <c r="H1171" s="12"/>
      <c r="N1171" s="31"/>
      <c r="O1171" s="31"/>
      <c r="P1171" s="30"/>
      <c r="Q1171" s="30"/>
      <c r="R1171" s="30"/>
    </row>
    <row r="1172" spans="6:18" s="1" customFormat="1" x14ac:dyDescent="0.3">
      <c r="F1172" s="12"/>
      <c r="H1172" s="12"/>
      <c r="N1172" s="31"/>
      <c r="O1172" s="31"/>
      <c r="P1172" s="30"/>
      <c r="Q1172" s="30"/>
      <c r="R1172" s="30"/>
    </row>
    <row r="1173" spans="6:18" s="1" customFormat="1" x14ac:dyDescent="0.3">
      <c r="F1173" s="12"/>
      <c r="H1173" s="12"/>
      <c r="N1173" s="31"/>
      <c r="O1173" s="31"/>
      <c r="P1173" s="30"/>
      <c r="Q1173" s="30"/>
      <c r="R1173" s="30"/>
    </row>
    <row r="1174" spans="6:18" s="1" customFormat="1" x14ac:dyDescent="0.3">
      <c r="F1174" s="12"/>
      <c r="H1174" s="12"/>
      <c r="N1174" s="31"/>
      <c r="O1174" s="31"/>
      <c r="P1174" s="30"/>
      <c r="Q1174" s="30"/>
      <c r="R1174" s="30"/>
    </row>
    <row r="1175" spans="6:18" s="1" customFormat="1" x14ac:dyDescent="0.3">
      <c r="F1175" s="12"/>
      <c r="H1175" s="12"/>
      <c r="N1175" s="31"/>
      <c r="O1175" s="31"/>
      <c r="P1175" s="30"/>
      <c r="Q1175" s="30"/>
      <c r="R1175" s="30"/>
    </row>
    <row r="1176" spans="6:18" s="1" customFormat="1" x14ac:dyDescent="0.3">
      <c r="F1176" s="12"/>
      <c r="H1176" s="12"/>
      <c r="N1176" s="31"/>
      <c r="O1176" s="31"/>
      <c r="P1176" s="30"/>
      <c r="Q1176" s="30"/>
      <c r="R1176" s="30"/>
    </row>
    <row r="1177" spans="6:18" s="1" customFormat="1" x14ac:dyDescent="0.3">
      <c r="F1177" s="12"/>
      <c r="H1177" s="12"/>
      <c r="N1177" s="31"/>
      <c r="O1177" s="31"/>
      <c r="P1177" s="30"/>
      <c r="Q1177" s="30"/>
      <c r="R1177" s="30"/>
    </row>
    <row r="1178" spans="6:18" s="1" customFormat="1" x14ac:dyDescent="0.3">
      <c r="F1178" s="12"/>
      <c r="H1178" s="12"/>
      <c r="N1178" s="31"/>
      <c r="O1178" s="31"/>
      <c r="P1178" s="30"/>
      <c r="Q1178" s="30"/>
      <c r="R1178" s="30"/>
    </row>
    <row r="1179" spans="6:18" s="1" customFormat="1" x14ac:dyDescent="0.3">
      <c r="F1179" s="12"/>
      <c r="H1179" s="12"/>
      <c r="N1179" s="31"/>
      <c r="O1179" s="31"/>
      <c r="P1179" s="30"/>
      <c r="Q1179" s="30"/>
      <c r="R1179" s="30"/>
    </row>
    <row r="1180" spans="6:18" s="1" customFormat="1" x14ac:dyDescent="0.3">
      <c r="F1180" s="12"/>
      <c r="H1180" s="12"/>
      <c r="N1180" s="31"/>
      <c r="O1180" s="31"/>
      <c r="P1180" s="30"/>
      <c r="Q1180" s="30"/>
      <c r="R1180" s="30"/>
    </row>
    <row r="1181" spans="6:18" s="1" customFormat="1" x14ac:dyDescent="0.3">
      <c r="F1181" s="12"/>
      <c r="H1181" s="12"/>
      <c r="N1181" s="31"/>
      <c r="O1181" s="31"/>
      <c r="P1181" s="30"/>
      <c r="Q1181" s="30"/>
      <c r="R1181" s="30"/>
    </row>
    <row r="1182" spans="6:18" s="1" customFormat="1" x14ac:dyDescent="0.3">
      <c r="F1182" s="12"/>
      <c r="H1182" s="12"/>
      <c r="N1182" s="31"/>
      <c r="O1182" s="31"/>
      <c r="P1182" s="30"/>
      <c r="Q1182" s="30"/>
      <c r="R1182" s="30"/>
    </row>
    <row r="1183" spans="6:18" s="1" customFormat="1" x14ac:dyDescent="0.3">
      <c r="F1183" s="12"/>
      <c r="H1183" s="12"/>
      <c r="N1183" s="31"/>
      <c r="O1183" s="31"/>
      <c r="P1183" s="30"/>
      <c r="Q1183" s="30"/>
      <c r="R1183" s="30"/>
    </row>
    <row r="1184" spans="6:18" s="1" customFormat="1" x14ac:dyDescent="0.3">
      <c r="F1184" s="12"/>
      <c r="H1184" s="12"/>
      <c r="N1184" s="31"/>
      <c r="O1184" s="31"/>
      <c r="P1184" s="30"/>
      <c r="Q1184" s="30"/>
      <c r="R1184" s="30"/>
    </row>
    <row r="1185" spans="6:18" s="1" customFormat="1" x14ac:dyDescent="0.3">
      <c r="F1185" s="12"/>
      <c r="H1185" s="12"/>
      <c r="N1185" s="31"/>
      <c r="O1185" s="31"/>
      <c r="P1185" s="30"/>
      <c r="Q1185" s="30"/>
      <c r="R1185" s="30"/>
    </row>
    <row r="1186" spans="6:18" s="1" customFormat="1" x14ac:dyDescent="0.3">
      <c r="F1186" s="12"/>
      <c r="H1186" s="12"/>
      <c r="N1186" s="31"/>
      <c r="O1186" s="31"/>
      <c r="P1186" s="30"/>
      <c r="Q1186" s="30"/>
      <c r="R1186" s="30"/>
    </row>
    <row r="1187" spans="6:18" s="1" customFormat="1" x14ac:dyDescent="0.3">
      <c r="F1187" s="12"/>
      <c r="H1187" s="12"/>
      <c r="N1187" s="31"/>
      <c r="O1187" s="31"/>
      <c r="P1187" s="30"/>
      <c r="Q1187" s="30"/>
      <c r="R1187" s="30"/>
    </row>
    <row r="1188" spans="6:18" s="1" customFormat="1" x14ac:dyDescent="0.3">
      <c r="F1188" s="12"/>
      <c r="H1188" s="12"/>
      <c r="N1188" s="31"/>
      <c r="O1188" s="31"/>
      <c r="P1188" s="30"/>
      <c r="Q1188" s="30"/>
      <c r="R1188" s="30"/>
    </row>
    <row r="1189" spans="6:18" s="1" customFormat="1" x14ac:dyDescent="0.3">
      <c r="F1189" s="12"/>
      <c r="H1189" s="12"/>
      <c r="N1189" s="31"/>
      <c r="O1189" s="31"/>
      <c r="P1189" s="30"/>
      <c r="Q1189" s="30"/>
      <c r="R1189" s="30"/>
    </row>
    <row r="1190" spans="6:18" s="1" customFormat="1" x14ac:dyDescent="0.3">
      <c r="F1190" s="12"/>
      <c r="H1190" s="12"/>
      <c r="N1190" s="31"/>
      <c r="O1190" s="31"/>
      <c r="P1190" s="30"/>
      <c r="Q1190" s="30"/>
      <c r="R1190" s="30"/>
    </row>
    <row r="1191" spans="6:18" s="1" customFormat="1" x14ac:dyDescent="0.3">
      <c r="F1191" s="12"/>
      <c r="H1191" s="12"/>
      <c r="N1191" s="31"/>
      <c r="O1191" s="31"/>
      <c r="P1191" s="30"/>
      <c r="Q1191" s="30"/>
      <c r="R1191" s="30"/>
    </row>
    <row r="1192" spans="6:18" s="1" customFormat="1" x14ac:dyDescent="0.3">
      <c r="F1192" s="12"/>
      <c r="H1192" s="12"/>
      <c r="N1192" s="31"/>
      <c r="O1192" s="31"/>
      <c r="P1192" s="30"/>
      <c r="Q1192" s="30"/>
      <c r="R1192" s="30"/>
    </row>
    <row r="1193" spans="6:18" s="1" customFormat="1" x14ac:dyDescent="0.3">
      <c r="F1193" s="12"/>
      <c r="H1193" s="12"/>
      <c r="N1193" s="31"/>
      <c r="O1193" s="31"/>
      <c r="P1193" s="30"/>
      <c r="Q1193" s="30"/>
      <c r="R1193" s="30"/>
    </row>
    <row r="1194" spans="6:18" s="1" customFormat="1" x14ac:dyDescent="0.3">
      <c r="F1194" s="12"/>
      <c r="H1194" s="12"/>
      <c r="N1194" s="31"/>
      <c r="O1194" s="31"/>
      <c r="P1194" s="30"/>
      <c r="Q1194" s="30"/>
      <c r="R1194" s="30"/>
    </row>
    <row r="1195" spans="6:18" s="1" customFormat="1" x14ac:dyDescent="0.3">
      <c r="F1195" s="12"/>
      <c r="H1195" s="12"/>
      <c r="N1195" s="31"/>
      <c r="O1195" s="31"/>
      <c r="P1195" s="30"/>
      <c r="Q1195" s="30"/>
      <c r="R1195" s="30"/>
    </row>
    <row r="1196" spans="6:18" s="1" customFormat="1" x14ac:dyDescent="0.3">
      <c r="F1196" s="12"/>
      <c r="H1196" s="12"/>
      <c r="N1196" s="31"/>
      <c r="O1196" s="31"/>
      <c r="P1196" s="30"/>
      <c r="Q1196" s="30"/>
      <c r="R1196" s="30"/>
    </row>
    <row r="1197" spans="6:18" s="1" customFormat="1" x14ac:dyDescent="0.3">
      <c r="F1197" s="12"/>
      <c r="H1197" s="12"/>
      <c r="N1197" s="31"/>
      <c r="O1197" s="31"/>
      <c r="P1197" s="30"/>
      <c r="Q1197" s="30"/>
      <c r="R1197" s="30"/>
    </row>
    <row r="1198" spans="6:18" s="1" customFormat="1" x14ac:dyDescent="0.3">
      <c r="F1198" s="12"/>
      <c r="H1198" s="12"/>
      <c r="N1198" s="31"/>
      <c r="O1198" s="31"/>
      <c r="P1198" s="30"/>
      <c r="Q1198" s="30"/>
      <c r="R1198" s="30"/>
    </row>
    <row r="1199" spans="6:18" s="1" customFormat="1" x14ac:dyDescent="0.3">
      <c r="F1199" s="12"/>
      <c r="H1199" s="12"/>
      <c r="N1199" s="31"/>
      <c r="O1199" s="31"/>
      <c r="P1199" s="30"/>
      <c r="Q1199" s="30"/>
      <c r="R1199" s="30"/>
    </row>
    <row r="1200" spans="6:18" s="1" customFormat="1" x14ac:dyDescent="0.3">
      <c r="F1200" s="12"/>
      <c r="H1200" s="12"/>
      <c r="N1200" s="31"/>
      <c r="O1200" s="31"/>
      <c r="P1200" s="30"/>
      <c r="Q1200" s="30"/>
      <c r="R1200" s="30"/>
    </row>
    <row r="1201" spans="6:18" s="1" customFormat="1" x14ac:dyDescent="0.3">
      <c r="F1201" s="12"/>
      <c r="H1201" s="12"/>
      <c r="N1201" s="31"/>
      <c r="O1201" s="31"/>
      <c r="P1201" s="30"/>
      <c r="Q1201" s="30"/>
      <c r="R1201" s="30"/>
    </row>
    <row r="1202" spans="6:18" s="1" customFormat="1" x14ac:dyDescent="0.3">
      <c r="F1202" s="12"/>
      <c r="H1202" s="12"/>
      <c r="N1202" s="31"/>
      <c r="O1202" s="31"/>
      <c r="P1202" s="30"/>
      <c r="Q1202" s="30"/>
      <c r="R1202" s="30"/>
    </row>
    <row r="1203" spans="6:18" s="1" customFormat="1" x14ac:dyDescent="0.3">
      <c r="F1203" s="12"/>
      <c r="H1203" s="12"/>
      <c r="N1203" s="31"/>
      <c r="O1203" s="31"/>
      <c r="P1203" s="30"/>
      <c r="Q1203" s="30"/>
      <c r="R1203" s="30"/>
    </row>
    <row r="1204" spans="6:18" s="1" customFormat="1" x14ac:dyDescent="0.3">
      <c r="F1204" s="12"/>
      <c r="H1204" s="12"/>
      <c r="N1204" s="31"/>
      <c r="O1204" s="31"/>
      <c r="P1204" s="30"/>
      <c r="Q1204" s="30"/>
      <c r="R1204" s="30"/>
    </row>
    <row r="1205" spans="6:18" s="1" customFormat="1" x14ac:dyDescent="0.3">
      <c r="F1205" s="12"/>
      <c r="H1205" s="12"/>
      <c r="N1205" s="31"/>
      <c r="O1205" s="31"/>
      <c r="P1205" s="30"/>
      <c r="Q1205" s="30"/>
      <c r="R1205" s="30"/>
    </row>
    <row r="1206" spans="6:18" s="1" customFormat="1" x14ac:dyDescent="0.3">
      <c r="F1206" s="12"/>
      <c r="H1206" s="12"/>
      <c r="N1206" s="31"/>
      <c r="O1206" s="31"/>
      <c r="P1206" s="30"/>
      <c r="Q1206" s="30"/>
      <c r="R1206" s="30"/>
    </row>
    <row r="1207" spans="6:18" s="1" customFormat="1" x14ac:dyDescent="0.3">
      <c r="F1207" s="12"/>
      <c r="H1207" s="12"/>
      <c r="N1207" s="31"/>
      <c r="O1207" s="31"/>
      <c r="P1207" s="30"/>
      <c r="Q1207" s="30"/>
      <c r="R1207" s="30"/>
    </row>
    <row r="1208" spans="6:18" s="1" customFormat="1" x14ac:dyDescent="0.3">
      <c r="F1208" s="12"/>
      <c r="H1208" s="12"/>
      <c r="N1208" s="31"/>
      <c r="O1208" s="31"/>
      <c r="P1208" s="30"/>
      <c r="Q1208" s="30"/>
      <c r="R1208" s="30"/>
    </row>
    <row r="1209" spans="6:18" s="1" customFormat="1" x14ac:dyDescent="0.3">
      <c r="F1209" s="12"/>
      <c r="H1209" s="12"/>
      <c r="N1209" s="31"/>
      <c r="O1209" s="31"/>
      <c r="P1209" s="30"/>
      <c r="Q1209" s="30"/>
      <c r="R1209" s="30"/>
    </row>
    <row r="1210" spans="6:18" s="1" customFormat="1" x14ac:dyDescent="0.3">
      <c r="F1210" s="12"/>
      <c r="H1210" s="12"/>
      <c r="N1210" s="31"/>
      <c r="O1210" s="31"/>
      <c r="P1210" s="30"/>
      <c r="Q1210" s="30"/>
      <c r="R1210" s="30"/>
    </row>
    <row r="1211" spans="6:18" s="1" customFormat="1" x14ac:dyDescent="0.3">
      <c r="F1211" s="12"/>
      <c r="H1211" s="12"/>
      <c r="N1211" s="31"/>
      <c r="O1211" s="31"/>
      <c r="P1211" s="30"/>
      <c r="Q1211" s="30"/>
      <c r="R1211" s="30"/>
    </row>
    <row r="1212" spans="6:18" s="1" customFormat="1" x14ac:dyDescent="0.3">
      <c r="F1212" s="12"/>
      <c r="H1212" s="12"/>
      <c r="N1212" s="31"/>
      <c r="O1212" s="31"/>
      <c r="P1212" s="30"/>
      <c r="Q1212" s="30"/>
      <c r="R1212" s="30"/>
    </row>
    <row r="1213" spans="6:18" s="1" customFormat="1" x14ac:dyDescent="0.3">
      <c r="F1213" s="12"/>
      <c r="H1213" s="12"/>
      <c r="N1213" s="31"/>
      <c r="O1213" s="31"/>
      <c r="P1213" s="30"/>
      <c r="Q1213" s="30"/>
      <c r="R1213" s="30"/>
    </row>
    <row r="1214" spans="6:18" s="1" customFormat="1" x14ac:dyDescent="0.3">
      <c r="F1214" s="12"/>
      <c r="H1214" s="12"/>
      <c r="N1214" s="31"/>
      <c r="O1214" s="31"/>
      <c r="P1214" s="30"/>
      <c r="Q1214" s="30"/>
      <c r="R1214" s="30"/>
    </row>
    <row r="1215" spans="6:18" s="1" customFormat="1" x14ac:dyDescent="0.3">
      <c r="F1215" s="12"/>
      <c r="H1215" s="12"/>
      <c r="N1215" s="31"/>
      <c r="O1215" s="31"/>
      <c r="P1215" s="30"/>
      <c r="Q1215" s="30"/>
      <c r="R1215" s="30"/>
    </row>
    <row r="1216" spans="6:18" s="1" customFormat="1" x14ac:dyDescent="0.3">
      <c r="F1216" s="12"/>
      <c r="H1216" s="12"/>
      <c r="N1216" s="31"/>
      <c r="O1216" s="31"/>
      <c r="P1216" s="30"/>
      <c r="Q1216" s="30"/>
      <c r="R1216" s="30"/>
    </row>
    <row r="1217" spans="6:18" s="1" customFormat="1" x14ac:dyDescent="0.3">
      <c r="F1217" s="12"/>
      <c r="H1217" s="12"/>
      <c r="N1217" s="31"/>
      <c r="O1217" s="31"/>
      <c r="P1217" s="30"/>
      <c r="Q1217" s="30"/>
      <c r="R1217" s="30"/>
    </row>
    <row r="1218" spans="6:18" s="1" customFormat="1" x14ac:dyDescent="0.3">
      <c r="F1218" s="12"/>
      <c r="H1218" s="12"/>
      <c r="N1218" s="31"/>
      <c r="O1218" s="31"/>
      <c r="P1218" s="30"/>
      <c r="Q1218" s="30"/>
      <c r="R1218" s="30"/>
    </row>
    <row r="1219" spans="6:18" s="1" customFormat="1" x14ac:dyDescent="0.3">
      <c r="F1219" s="12"/>
      <c r="H1219" s="12"/>
      <c r="N1219" s="31"/>
      <c r="O1219" s="31"/>
      <c r="P1219" s="30"/>
      <c r="Q1219" s="30"/>
      <c r="R1219" s="30"/>
    </row>
    <row r="1220" spans="6:18" s="1" customFormat="1" x14ac:dyDescent="0.3">
      <c r="F1220" s="12"/>
      <c r="H1220" s="12"/>
      <c r="N1220" s="31"/>
      <c r="O1220" s="31"/>
      <c r="P1220" s="30"/>
      <c r="Q1220" s="30"/>
      <c r="R1220" s="30"/>
    </row>
    <row r="1221" spans="6:18" s="1" customFormat="1" x14ac:dyDescent="0.3">
      <c r="F1221" s="12"/>
      <c r="H1221" s="12"/>
      <c r="N1221" s="31"/>
      <c r="O1221" s="31"/>
      <c r="P1221" s="30"/>
      <c r="Q1221" s="30"/>
      <c r="R1221" s="30"/>
    </row>
    <row r="1222" spans="6:18" s="1" customFormat="1" x14ac:dyDescent="0.3">
      <c r="F1222" s="12"/>
      <c r="H1222" s="12"/>
      <c r="N1222" s="31"/>
      <c r="O1222" s="31"/>
      <c r="P1222" s="30"/>
      <c r="Q1222" s="30"/>
      <c r="R1222" s="30"/>
    </row>
    <row r="1223" spans="6:18" s="1" customFormat="1" x14ac:dyDescent="0.3">
      <c r="F1223" s="12"/>
      <c r="H1223" s="12"/>
      <c r="N1223" s="31"/>
      <c r="O1223" s="31"/>
      <c r="P1223" s="30"/>
      <c r="Q1223" s="30"/>
      <c r="R1223" s="30"/>
    </row>
    <row r="1224" spans="6:18" s="1" customFormat="1" x14ac:dyDescent="0.3">
      <c r="F1224" s="12"/>
      <c r="H1224" s="12"/>
      <c r="N1224" s="31"/>
      <c r="O1224" s="31"/>
      <c r="P1224" s="30"/>
      <c r="Q1224" s="30"/>
      <c r="R1224" s="30"/>
    </row>
    <row r="1225" spans="6:18" s="1" customFormat="1" x14ac:dyDescent="0.3">
      <c r="F1225" s="12"/>
      <c r="H1225" s="12"/>
      <c r="N1225" s="31"/>
      <c r="O1225" s="31"/>
      <c r="P1225" s="30"/>
      <c r="Q1225" s="30"/>
      <c r="R1225" s="30"/>
    </row>
    <row r="1226" spans="6:18" s="1" customFormat="1" x14ac:dyDescent="0.3">
      <c r="F1226" s="12"/>
      <c r="H1226" s="12"/>
      <c r="N1226" s="31"/>
      <c r="O1226" s="31"/>
      <c r="P1226" s="30"/>
      <c r="Q1226" s="30"/>
      <c r="R1226" s="30"/>
    </row>
    <row r="1227" spans="6:18" s="1" customFormat="1" x14ac:dyDescent="0.3">
      <c r="F1227" s="12"/>
      <c r="H1227" s="12"/>
      <c r="N1227" s="31"/>
      <c r="O1227" s="31"/>
      <c r="P1227" s="30"/>
      <c r="Q1227" s="30"/>
      <c r="R1227" s="30"/>
    </row>
    <row r="1228" spans="6:18" s="1" customFormat="1" x14ac:dyDescent="0.3">
      <c r="F1228" s="12"/>
      <c r="H1228" s="12"/>
      <c r="N1228" s="31"/>
      <c r="O1228" s="31"/>
      <c r="P1228" s="30"/>
      <c r="Q1228" s="30"/>
      <c r="R1228" s="30"/>
    </row>
    <row r="1229" spans="6:18" s="1" customFormat="1" x14ac:dyDescent="0.3">
      <c r="F1229" s="12"/>
      <c r="H1229" s="12"/>
      <c r="N1229" s="31"/>
      <c r="O1229" s="31"/>
      <c r="P1229" s="30"/>
      <c r="Q1229" s="30"/>
      <c r="R1229" s="30"/>
    </row>
    <row r="1230" spans="6:18" s="1" customFormat="1" x14ac:dyDescent="0.3">
      <c r="F1230" s="12"/>
      <c r="H1230" s="12"/>
      <c r="N1230" s="31"/>
      <c r="O1230" s="31"/>
      <c r="P1230" s="30"/>
      <c r="Q1230" s="30"/>
      <c r="R1230" s="30"/>
    </row>
    <row r="1231" spans="6:18" s="1" customFormat="1" x14ac:dyDescent="0.3">
      <c r="F1231" s="12"/>
      <c r="H1231" s="12"/>
      <c r="N1231" s="31"/>
      <c r="O1231" s="31"/>
      <c r="P1231" s="30"/>
      <c r="Q1231" s="30"/>
      <c r="R1231" s="30"/>
    </row>
    <row r="1232" spans="6:18" s="1" customFormat="1" x14ac:dyDescent="0.3">
      <c r="F1232" s="12"/>
      <c r="H1232" s="12"/>
      <c r="N1232" s="31"/>
      <c r="O1232" s="31"/>
      <c r="P1232" s="30"/>
      <c r="Q1232" s="30"/>
      <c r="R1232" s="30"/>
    </row>
    <row r="1233" spans="6:18" s="1" customFormat="1" x14ac:dyDescent="0.3">
      <c r="F1233" s="12"/>
      <c r="H1233" s="12"/>
      <c r="N1233" s="31"/>
      <c r="O1233" s="31"/>
      <c r="P1233" s="30"/>
      <c r="Q1233" s="30"/>
      <c r="R1233" s="30"/>
    </row>
    <row r="1234" spans="6:18" s="1" customFormat="1" x14ac:dyDescent="0.3">
      <c r="F1234" s="12"/>
      <c r="H1234" s="12"/>
      <c r="N1234" s="31"/>
      <c r="O1234" s="31"/>
      <c r="P1234" s="30"/>
      <c r="Q1234" s="30"/>
      <c r="R1234" s="30"/>
    </row>
    <row r="1235" spans="6:18" s="1" customFormat="1" x14ac:dyDescent="0.3">
      <c r="F1235" s="12"/>
      <c r="H1235" s="12"/>
      <c r="N1235" s="31"/>
      <c r="O1235" s="31"/>
      <c r="P1235" s="30"/>
      <c r="Q1235" s="30"/>
      <c r="R1235" s="30"/>
    </row>
    <row r="1236" spans="6:18" s="1" customFormat="1" x14ac:dyDescent="0.3">
      <c r="F1236" s="12"/>
      <c r="H1236" s="12"/>
      <c r="N1236" s="31"/>
      <c r="O1236" s="31"/>
      <c r="P1236" s="30"/>
      <c r="Q1236" s="30"/>
      <c r="R1236" s="30"/>
    </row>
    <row r="1237" spans="6:18" s="1" customFormat="1" x14ac:dyDescent="0.3">
      <c r="F1237" s="12"/>
      <c r="H1237" s="12"/>
      <c r="N1237" s="31"/>
      <c r="O1237" s="31"/>
      <c r="P1237" s="30"/>
      <c r="Q1237" s="30"/>
      <c r="R1237" s="30"/>
    </row>
    <row r="1238" spans="6:18" s="1" customFormat="1" x14ac:dyDescent="0.3">
      <c r="F1238" s="12"/>
      <c r="H1238" s="12"/>
      <c r="N1238" s="31"/>
      <c r="O1238" s="31"/>
      <c r="P1238" s="30"/>
      <c r="Q1238" s="30"/>
      <c r="R1238" s="30"/>
    </row>
    <row r="1239" spans="6:18" s="1" customFormat="1" x14ac:dyDescent="0.3">
      <c r="F1239" s="12"/>
      <c r="H1239" s="12"/>
      <c r="N1239" s="31"/>
      <c r="O1239" s="31"/>
      <c r="P1239" s="30"/>
      <c r="Q1239" s="30"/>
      <c r="R1239" s="30"/>
    </row>
    <row r="1240" spans="6:18" s="1" customFormat="1" x14ac:dyDescent="0.3">
      <c r="F1240" s="12"/>
      <c r="H1240" s="12"/>
      <c r="N1240" s="31"/>
      <c r="O1240" s="31"/>
      <c r="P1240" s="30"/>
      <c r="Q1240" s="30"/>
      <c r="R1240" s="30"/>
    </row>
    <row r="1241" spans="6:18" s="1" customFormat="1" x14ac:dyDescent="0.3">
      <c r="F1241" s="12"/>
      <c r="H1241" s="12"/>
      <c r="N1241" s="31"/>
      <c r="O1241" s="31"/>
      <c r="P1241" s="30"/>
      <c r="Q1241" s="30"/>
      <c r="R1241" s="30"/>
    </row>
    <row r="1242" spans="6:18" s="1" customFormat="1" x14ac:dyDescent="0.3">
      <c r="F1242" s="12"/>
      <c r="H1242" s="12"/>
      <c r="N1242" s="31"/>
      <c r="O1242" s="31"/>
      <c r="P1242" s="30"/>
      <c r="Q1242" s="30"/>
      <c r="R1242" s="30"/>
    </row>
    <row r="1243" spans="6:18" s="1" customFormat="1" x14ac:dyDescent="0.3">
      <c r="F1243" s="12"/>
      <c r="H1243" s="12"/>
      <c r="N1243" s="31"/>
      <c r="O1243" s="31"/>
      <c r="P1243" s="30"/>
      <c r="Q1243" s="30"/>
      <c r="R1243" s="30"/>
    </row>
    <row r="1244" spans="6:18" s="1" customFormat="1" x14ac:dyDescent="0.3">
      <c r="F1244" s="12"/>
      <c r="H1244" s="12"/>
      <c r="N1244" s="31"/>
      <c r="O1244" s="31"/>
      <c r="P1244" s="30"/>
      <c r="Q1244" s="30"/>
      <c r="R1244" s="30"/>
    </row>
    <row r="1245" spans="6:18" s="1" customFormat="1" x14ac:dyDescent="0.3">
      <c r="F1245" s="12"/>
      <c r="H1245" s="12"/>
      <c r="N1245" s="31"/>
      <c r="O1245" s="31"/>
      <c r="P1245" s="30"/>
      <c r="Q1245" s="30"/>
      <c r="R1245" s="30"/>
    </row>
    <row r="1246" spans="6:18" s="1" customFormat="1" x14ac:dyDescent="0.3">
      <c r="F1246" s="12"/>
      <c r="H1246" s="12"/>
      <c r="N1246" s="31"/>
      <c r="O1246" s="31"/>
      <c r="P1246" s="30"/>
      <c r="Q1246" s="30"/>
      <c r="R1246" s="30"/>
    </row>
    <row r="1247" spans="6:18" s="1" customFormat="1" x14ac:dyDescent="0.3">
      <c r="F1247" s="12"/>
      <c r="H1247" s="12"/>
      <c r="N1247" s="31"/>
      <c r="O1247" s="31"/>
      <c r="P1247" s="30"/>
      <c r="Q1247" s="30"/>
      <c r="R1247" s="30"/>
    </row>
    <row r="1248" spans="6:18" s="1" customFormat="1" x14ac:dyDescent="0.3">
      <c r="F1248" s="12"/>
      <c r="H1248" s="12"/>
      <c r="N1248" s="31"/>
      <c r="O1248" s="31"/>
      <c r="P1248" s="30"/>
      <c r="Q1248" s="30"/>
      <c r="R1248" s="30"/>
    </row>
    <row r="1249" spans="6:18" s="1" customFormat="1" x14ac:dyDescent="0.3">
      <c r="F1249" s="12"/>
      <c r="H1249" s="12"/>
      <c r="N1249" s="31"/>
      <c r="O1249" s="31"/>
      <c r="P1249" s="30"/>
      <c r="Q1249" s="30"/>
      <c r="R1249" s="30"/>
    </row>
    <row r="1250" spans="6:18" s="1" customFormat="1" x14ac:dyDescent="0.3">
      <c r="F1250" s="12"/>
      <c r="H1250" s="12"/>
      <c r="N1250" s="31"/>
      <c r="O1250" s="31"/>
      <c r="P1250" s="30"/>
      <c r="Q1250" s="30"/>
      <c r="R1250" s="30"/>
    </row>
    <row r="1251" spans="6:18" s="1" customFormat="1" x14ac:dyDescent="0.3">
      <c r="F1251" s="12"/>
      <c r="H1251" s="12"/>
      <c r="N1251" s="31"/>
      <c r="O1251" s="31"/>
      <c r="P1251" s="30"/>
      <c r="Q1251" s="30"/>
      <c r="R1251" s="30"/>
    </row>
    <row r="1252" spans="6:18" s="1" customFormat="1" x14ac:dyDescent="0.3">
      <c r="F1252" s="12"/>
      <c r="H1252" s="12"/>
      <c r="N1252" s="31"/>
      <c r="O1252" s="31"/>
      <c r="P1252" s="30"/>
      <c r="Q1252" s="30"/>
      <c r="R1252" s="30"/>
    </row>
    <row r="1253" spans="6:18" s="1" customFormat="1" x14ac:dyDescent="0.3">
      <c r="F1253" s="12"/>
      <c r="H1253" s="12"/>
      <c r="N1253" s="31"/>
      <c r="O1253" s="31"/>
      <c r="P1253" s="30"/>
      <c r="Q1253" s="30"/>
      <c r="R1253" s="30"/>
    </row>
    <row r="1254" spans="6:18" s="1" customFormat="1" x14ac:dyDescent="0.3">
      <c r="F1254" s="12"/>
      <c r="H1254" s="12"/>
      <c r="N1254" s="31"/>
      <c r="O1254" s="31"/>
      <c r="P1254" s="30"/>
      <c r="Q1254" s="30"/>
      <c r="R1254" s="30"/>
    </row>
    <row r="1255" spans="6:18" s="1" customFormat="1" x14ac:dyDescent="0.3">
      <c r="F1255" s="12"/>
      <c r="H1255" s="12"/>
      <c r="N1255" s="31"/>
      <c r="O1255" s="31"/>
      <c r="P1255" s="30"/>
      <c r="Q1255" s="30"/>
      <c r="R1255" s="30"/>
    </row>
    <row r="1256" spans="6:18" s="1" customFormat="1" x14ac:dyDescent="0.3">
      <c r="F1256" s="12"/>
      <c r="H1256" s="12"/>
      <c r="N1256" s="31"/>
      <c r="O1256" s="31"/>
      <c r="P1256" s="30"/>
      <c r="Q1256" s="30"/>
      <c r="R1256" s="30"/>
    </row>
    <row r="1257" spans="6:18" s="1" customFormat="1" x14ac:dyDescent="0.3">
      <c r="F1257" s="12"/>
      <c r="H1257" s="12"/>
      <c r="N1257" s="31"/>
      <c r="O1257" s="31"/>
      <c r="P1257" s="30"/>
      <c r="Q1257" s="30"/>
      <c r="R1257" s="30"/>
    </row>
    <row r="1258" spans="6:18" s="1" customFormat="1" x14ac:dyDescent="0.3">
      <c r="F1258" s="12"/>
      <c r="H1258" s="12"/>
      <c r="N1258" s="31"/>
      <c r="O1258" s="31"/>
      <c r="P1258" s="30"/>
      <c r="Q1258" s="30"/>
      <c r="R1258" s="30"/>
    </row>
    <row r="1259" spans="6:18" s="1" customFormat="1" x14ac:dyDescent="0.3">
      <c r="F1259" s="12"/>
      <c r="H1259" s="12"/>
      <c r="N1259" s="31"/>
      <c r="O1259" s="31"/>
      <c r="P1259" s="30"/>
      <c r="Q1259" s="30"/>
      <c r="R1259" s="30"/>
    </row>
    <row r="1260" spans="6:18" s="1" customFormat="1" x14ac:dyDescent="0.3">
      <c r="F1260" s="12"/>
      <c r="H1260" s="12"/>
      <c r="N1260" s="31"/>
      <c r="O1260" s="31"/>
      <c r="P1260" s="30"/>
      <c r="Q1260" s="30"/>
      <c r="R1260" s="30"/>
    </row>
    <row r="1261" spans="6:18" s="1" customFormat="1" x14ac:dyDescent="0.3">
      <c r="F1261" s="12"/>
      <c r="H1261" s="12"/>
      <c r="N1261" s="31"/>
      <c r="O1261" s="31"/>
      <c r="P1261" s="30"/>
      <c r="Q1261" s="30"/>
      <c r="R1261" s="30"/>
    </row>
    <row r="1262" spans="6:18" s="1" customFormat="1" x14ac:dyDescent="0.3">
      <c r="F1262" s="12"/>
      <c r="H1262" s="12"/>
      <c r="N1262" s="31"/>
      <c r="O1262" s="31"/>
      <c r="P1262" s="30"/>
      <c r="Q1262" s="30"/>
      <c r="R1262" s="30"/>
    </row>
    <row r="1263" spans="6:18" s="1" customFormat="1" x14ac:dyDescent="0.3">
      <c r="F1263" s="12"/>
      <c r="H1263" s="12"/>
      <c r="N1263" s="31"/>
      <c r="O1263" s="31"/>
      <c r="P1263" s="30"/>
      <c r="Q1263" s="30"/>
      <c r="R1263" s="30"/>
    </row>
    <row r="1264" spans="6:18" s="1" customFormat="1" x14ac:dyDescent="0.3">
      <c r="F1264" s="12"/>
      <c r="H1264" s="12"/>
      <c r="N1264" s="31"/>
      <c r="O1264" s="31"/>
      <c r="P1264" s="30"/>
      <c r="Q1264" s="30"/>
      <c r="R1264" s="30"/>
    </row>
    <row r="1265" spans="6:18" s="1" customFormat="1" x14ac:dyDescent="0.3">
      <c r="F1265" s="12"/>
      <c r="H1265" s="12"/>
      <c r="N1265" s="31"/>
      <c r="O1265" s="31"/>
      <c r="P1265" s="30"/>
      <c r="Q1265" s="30"/>
      <c r="R1265" s="30"/>
    </row>
    <row r="1266" spans="6:18" s="1" customFormat="1" x14ac:dyDescent="0.3">
      <c r="F1266" s="12"/>
      <c r="H1266" s="12"/>
      <c r="N1266" s="31"/>
      <c r="O1266" s="31"/>
      <c r="P1266" s="30"/>
      <c r="Q1266" s="30"/>
      <c r="R1266" s="30"/>
    </row>
    <row r="1267" spans="6:18" s="1" customFormat="1" x14ac:dyDescent="0.3">
      <c r="F1267" s="12"/>
      <c r="H1267" s="12"/>
      <c r="N1267" s="31"/>
      <c r="O1267" s="31"/>
      <c r="P1267" s="30"/>
      <c r="Q1267" s="30"/>
      <c r="R1267" s="30"/>
    </row>
    <row r="1268" spans="6:18" s="1" customFormat="1" x14ac:dyDescent="0.3">
      <c r="F1268" s="12"/>
      <c r="H1268" s="12"/>
      <c r="N1268" s="31"/>
      <c r="O1268" s="31"/>
      <c r="P1268" s="30"/>
      <c r="Q1268" s="30"/>
      <c r="R1268" s="30"/>
    </row>
    <row r="1269" spans="6:18" s="1" customFormat="1" x14ac:dyDescent="0.3">
      <c r="F1269" s="12"/>
      <c r="H1269" s="12"/>
      <c r="N1269" s="31"/>
      <c r="O1269" s="31"/>
      <c r="P1269" s="30"/>
      <c r="Q1269" s="30"/>
      <c r="R1269" s="30"/>
    </row>
    <row r="1270" spans="6:18" s="1" customFormat="1" x14ac:dyDescent="0.3">
      <c r="F1270" s="12"/>
      <c r="H1270" s="12"/>
      <c r="N1270" s="31"/>
      <c r="O1270" s="31"/>
      <c r="P1270" s="30"/>
      <c r="Q1270" s="30"/>
      <c r="R1270" s="30"/>
    </row>
    <row r="1271" spans="6:18" s="1" customFormat="1" x14ac:dyDescent="0.3">
      <c r="F1271" s="12"/>
      <c r="H1271" s="12"/>
      <c r="N1271" s="31"/>
      <c r="O1271" s="31"/>
      <c r="P1271" s="30"/>
      <c r="Q1271" s="30"/>
      <c r="R1271" s="30"/>
    </row>
    <row r="1272" spans="6:18" s="1" customFormat="1" x14ac:dyDescent="0.3">
      <c r="F1272" s="12"/>
      <c r="H1272" s="12"/>
      <c r="N1272" s="31"/>
      <c r="O1272" s="31"/>
      <c r="P1272" s="30"/>
      <c r="Q1272" s="30"/>
      <c r="R1272" s="30"/>
    </row>
    <row r="1273" spans="6:18" s="1" customFormat="1" x14ac:dyDescent="0.3">
      <c r="F1273" s="12"/>
      <c r="H1273" s="12"/>
      <c r="N1273" s="31"/>
      <c r="O1273" s="31"/>
      <c r="P1273" s="30"/>
      <c r="Q1273" s="30"/>
      <c r="R1273" s="30"/>
    </row>
    <row r="1274" spans="6:18" s="1" customFormat="1" x14ac:dyDescent="0.3">
      <c r="F1274" s="12"/>
      <c r="H1274" s="12"/>
      <c r="N1274" s="31"/>
      <c r="O1274" s="31"/>
      <c r="P1274" s="30"/>
      <c r="Q1274" s="30"/>
      <c r="R1274" s="30"/>
    </row>
    <row r="1275" spans="6:18" s="1" customFormat="1" x14ac:dyDescent="0.3">
      <c r="F1275" s="12"/>
      <c r="H1275" s="12"/>
      <c r="N1275" s="31"/>
      <c r="O1275" s="31"/>
      <c r="P1275" s="30"/>
      <c r="Q1275" s="30"/>
      <c r="R1275" s="30"/>
    </row>
    <row r="1276" spans="6:18" s="1" customFormat="1" x14ac:dyDescent="0.3">
      <c r="F1276" s="12"/>
      <c r="H1276" s="12"/>
      <c r="N1276" s="31"/>
      <c r="O1276" s="31"/>
      <c r="P1276" s="30"/>
      <c r="Q1276" s="30"/>
      <c r="R1276" s="30"/>
    </row>
    <row r="1277" spans="6:18" s="1" customFormat="1" x14ac:dyDescent="0.3">
      <c r="F1277" s="12"/>
      <c r="H1277" s="12"/>
      <c r="N1277" s="31"/>
      <c r="O1277" s="31"/>
      <c r="P1277" s="30"/>
      <c r="Q1277" s="30"/>
      <c r="R1277" s="30"/>
    </row>
    <row r="1278" spans="6:18" s="1" customFormat="1" x14ac:dyDescent="0.3">
      <c r="F1278" s="12"/>
      <c r="H1278" s="12"/>
      <c r="N1278" s="31"/>
      <c r="O1278" s="31"/>
      <c r="P1278" s="30"/>
      <c r="Q1278" s="30"/>
      <c r="R1278" s="30"/>
    </row>
    <row r="1279" spans="6:18" s="1" customFormat="1" x14ac:dyDescent="0.3">
      <c r="F1279" s="12"/>
      <c r="H1279" s="12"/>
      <c r="N1279" s="31"/>
      <c r="O1279" s="31"/>
      <c r="P1279" s="30"/>
      <c r="Q1279" s="30"/>
      <c r="R1279" s="30"/>
    </row>
    <row r="1280" spans="6:18" s="1" customFormat="1" x14ac:dyDescent="0.3">
      <c r="F1280" s="12"/>
      <c r="H1280" s="12"/>
      <c r="N1280" s="31"/>
      <c r="O1280" s="31"/>
      <c r="P1280" s="30"/>
      <c r="Q1280" s="30"/>
      <c r="R1280" s="30"/>
    </row>
    <row r="1281" spans="6:18" s="1" customFormat="1" x14ac:dyDescent="0.3">
      <c r="F1281" s="12"/>
      <c r="H1281" s="12"/>
      <c r="N1281" s="31"/>
      <c r="O1281" s="31"/>
      <c r="P1281" s="30"/>
      <c r="Q1281" s="30"/>
      <c r="R1281" s="30"/>
    </row>
    <row r="1282" spans="6:18" s="1" customFormat="1" x14ac:dyDescent="0.3">
      <c r="F1282" s="12"/>
      <c r="H1282" s="12"/>
      <c r="N1282" s="31"/>
      <c r="O1282" s="31"/>
      <c r="P1282" s="30"/>
      <c r="Q1282" s="30"/>
      <c r="R1282" s="30"/>
    </row>
    <row r="1283" spans="6:18" s="1" customFormat="1" x14ac:dyDescent="0.3">
      <c r="F1283" s="12"/>
      <c r="H1283" s="12"/>
      <c r="N1283" s="31"/>
      <c r="O1283" s="31"/>
      <c r="P1283" s="30"/>
      <c r="Q1283" s="30"/>
      <c r="R1283" s="30"/>
    </row>
    <row r="1284" spans="6:18" s="1" customFormat="1" x14ac:dyDescent="0.3">
      <c r="F1284" s="12"/>
      <c r="H1284" s="12"/>
      <c r="N1284" s="31"/>
      <c r="O1284" s="31"/>
      <c r="P1284" s="30"/>
      <c r="Q1284" s="30"/>
      <c r="R1284" s="30"/>
    </row>
    <row r="1285" spans="6:18" s="1" customFormat="1" x14ac:dyDescent="0.3">
      <c r="F1285" s="12"/>
      <c r="H1285" s="12"/>
      <c r="N1285" s="31"/>
      <c r="O1285" s="31"/>
      <c r="P1285" s="30"/>
      <c r="Q1285" s="30"/>
      <c r="R1285" s="30"/>
    </row>
    <row r="1286" spans="6:18" s="1" customFormat="1" x14ac:dyDescent="0.3">
      <c r="F1286" s="12"/>
      <c r="H1286" s="12"/>
      <c r="N1286" s="31"/>
      <c r="O1286" s="31"/>
      <c r="P1286" s="30"/>
      <c r="Q1286" s="30"/>
      <c r="R1286" s="30"/>
    </row>
    <row r="1287" spans="6:18" s="1" customFormat="1" x14ac:dyDescent="0.3">
      <c r="F1287" s="12"/>
      <c r="H1287" s="12"/>
      <c r="N1287" s="31"/>
      <c r="O1287" s="31"/>
      <c r="P1287" s="30"/>
      <c r="Q1287" s="30"/>
      <c r="R1287" s="30"/>
    </row>
    <row r="1288" spans="6:18" s="1" customFormat="1" x14ac:dyDescent="0.3">
      <c r="F1288" s="12"/>
      <c r="H1288" s="12"/>
      <c r="N1288" s="31"/>
      <c r="O1288" s="31"/>
      <c r="P1288" s="30"/>
      <c r="Q1288" s="30"/>
      <c r="R1288" s="30"/>
    </row>
    <row r="1289" spans="6:18" s="1" customFormat="1" x14ac:dyDescent="0.3">
      <c r="F1289" s="12"/>
      <c r="H1289" s="12"/>
      <c r="N1289" s="31"/>
      <c r="O1289" s="31"/>
      <c r="P1289" s="30"/>
      <c r="Q1289" s="30"/>
      <c r="R1289" s="30"/>
    </row>
    <row r="1290" spans="6:18" s="1" customFormat="1" x14ac:dyDescent="0.3">
      <c r="F1290" s="12"/>
      <c r="H1290" s="12"/>
      <c r="N1290" s="31"/>
      <c r="O1290" s="31"/>
      <c r="P1290" s="30"/>
      <c r="Q1290" s="30"/>
      <c r="R1290" s="30"/>
    </row>
    <row r="1291" spans="6:18" s="1" customFormat="1" x14ac:dyDescent="0.3">
      <c r="F1291" s="12"/>
      <c r="H1291" s="12"/>
      <c r="N1291" s="31"/>
      <c r="O1291" s="31"/>
      <c r="P1291" s="30"/>
      <c r="Q1291" s="30"/>
      <c r="R1291" s="30"/>
    </row>
    <row r="1292" spans="6:18" s="1" customFormat="1" x14ac:dyDescent="0.3">
      <c r="F1292" s="12"/>
      <c r="H1292" s="12"/>
      <c r="N1292" s="31"/>
      <c r="O1292" s="31"/>
      <c r="P1292" s="30"/>
      <c r="Q1292" s="30"/>
      <c r="R1292" s="30"/>
    </row>
    <row r="1293" spans="6:18" s="1" customFormat="1" x14ac:dyDescent="0.3">
      <c r="F1293" s="12"/>
      <c r="H1293" s="12"/>
      <c r="N1293" s="31"/>
      <c r="O1293" s="31"/>
      <c r="P1293" s="30"/>
      <c r="Q1293" s="30"/>
      <c r="R1293" s="30"/>
    </row>
    <row r="1294" spans="6:18" s="1" customFormat="1" x14ac:dyDescent="0.3">
      <c r="F1294" s="12"/>
      <c r="H1294" s="12"/>
      <c r="N1294" s="31"/>
      <c r="O1294" s="31"/>
      <c r="P1294" s="30"/>
      <c r="Q1294" s="30"/>
      <c r="R1294" s="30"/>
    </row>
    <row r="1295" spans="6:18" s="1" customFormat="1" x14ac:dyDescent="0.3">
      <c r="F1295" s="12"/>
      <c r="H1295" s="12"/>
      <c r="N1295" s="31"/>
      <c r="O1295" s="31"/>
      <c r="P1295" s="30"/>
      <c r="Q1295" s="30"/>
      <c r="R1295" s="30"/>
    </row>
    <row r="1296" spans="6:18" s="1" customFormat="1" x14ac:dyDescent="0.3">
      <c r="F1296" s="12"/>
      <c r="H1296" s="12"/>
      <c r="N1296" s="31"/>
      <c r="O1296" s="31"/>
      <c r="P1296" s="30"/>
      <c r="Q1296" s="30"/>
      <c r="R1296" s="30"/>
    </row>
    <row r="1297" spans="6:18" s="1" customFormat="1" x14ac:dyDescent="0.3">
      <c r="F1297" s="12"/>
      <c r="H1297" s="12"/>
      <c r="N1297" s="31"/>
      <c r="O1297" s="31"/>
      <c r="P1297" s="30"/>
      <c r="Q1297" s="30"/>
      <c r="R1297" s="30"/>
    </row>
    <row r="1298" spans="6:18" s="1" customFormat="1" x14ac:dyDescent="0.3">
      <c r="F1298" s="12"/>
      <c r="H1298" s="12"/>
      <c r="N1298" s="31"/>
      <c r="O1298" s="31"/>
      <c r="P1298" s="30"/>
      <c r="Q1298" s="30"/>
      <c r="R1298" s="30"/>
    </row>
    <row r="1299" spans="6:18" s="1" customFormat="1" x14ac:dyDescent="0.3">
      <c r="F1299" s="12"/>
      <c r="H1299" s="12"/>
      <c r="N1299" s="31"/>
      <c r="O1299" s="31"/>
      <c r="P1299" s="30"/>
      <c r="Q1299" s="30"/>
      <c r="R1299" s="30"/>
    </row>
    <row r="1300" spans="6:18" s="1" customFormat="1" x14ac:dyDescent="0.3">
      <c r="F1300" s="12"/>
      <c r="H1300" s="12"/>
      <c r="N1300" s="31"/>
      <c r="O1300" s="31"/>
      <c r="P1300" s="30"/>
      <c r="Q1300" s="30"/>
      <c r="R1300" s="30"/>
    </row>
    <row r="1301" spans="6:18" s="1" customFormat="1" x14ac:dyDescent="0.3">
      <c r="F1301" s="12"/>
      <c r="H1301" s="12"/>
      <c r="N1301" s="31"/>
      <c r="O1301" s="31"/>
      <c r="P1301" s="30"/>
      <c r="Q1301" s="30"/>
      <c r="R1301" s="30"/>
    </row>
    <row r="1302" spans="6:18" s="1" customFormat="1" x14ac:dyDescent="0.3">
      <c r="F1302" s="12"/>
      <c r="H1302" s="12"/>
      <c r="N1302" s="31"/>
      <c r="O1302" s="31"/>
      <c r="P1302" s="30"/>
      <c r="Q1302" s="30"/>
      <c r="R1302" s="30"/>
    </row>
    <row r="1303" spans="6:18" s="1" customFormat="1" x14ac:dyDescent="0.3">
      <c r="F1303" s="12"/>
      <c r="H1303" s="12"/>
      <c r="N1303" s="31"/>
      <c r="O1303" s="31"/>
      <c r="P1303" s="30"/>
      <c r="Q1303" s="30"/>
      <c r="R1303" s="30"/>
    </row>
    <row r="1304" spans="6:18" s="1" customFormat="1" x14ac:dyDescent="0.3">
      <c r="F1304" s="12"/>
      <c r="H1304" s="12"/>
      <c r="N1304" s="31"/>
      <c r="O1304" s="31"/>
      <c r="P1304" s="30"/>
      <c r="Q1304" s="30"/>
      <c r="R1304" s="30"/>
    </row>
    <row r="1305" spans="6:18" s="1" customFormat="1" x14ac:dyDescent="0.3">
      <c r="F1305" s="12"/>
      <c r="H1305" s="12"/>
      <c r="N1305" s="31"/>
      <c r="O1305" s="31"/>
      <c r="P1305" s="30"/>
      <c r="Q1305" s="30"/>
      <c r="R1305" s="30"/>
    </row>
    <row r="1306" spans="6:18" s="1" customFormat="1" x14ac:dyDescent="0.3">
      <c r="F1306" s="12"/>
      <c r="H1306" s="12"/>
      <c r="N1306" s="31"/>
      <c r="O1306" s="31"/>
      <c r="P1306" s="30"/>
      <c r="Q1306" s="30"/>
      <c r="R1306" s="30"/>
    </row>
    <row r="1307" spans="6:18" s="1" customFormat="1" x14ac:dyDescent="0.3">
      <c r="F1307" s="12"/>
      <c r="H1307" s="12"/>
      <c r="N1307" s="31"/>
      <c r="O1307" s="31"/>
      <c r="P1307" s="30"/>
      <c r="Q1307" s="30"/>
      <c r="R1307" s="30"/>
    </row>
    <row r="1308" spans="6:18" s="1" customFormat="1" x14ac:dyDescent="0.3">
      <c r="F1308" s="12"/>
      <c r="H1308" s="12"/>
      <c r="N1308" s="31"/>
      <c r="O1308" s="31"/>
      <c r="P1308" s="30"/>
      <c r="Q1308" s="30"/>
      <c r="R1308" s="30"/>
    </row>
    <row r="1309" spans="6:18" s="1" customFormat="1" x14ac:dyDescent="0.3">
      <c r="F1309" s="12"/>
      <c r="H1309" s="12"/>
      <c r="N1309" s="31"/>
      <c r="O1309" s="31"/>
      <c r="P1309" s="30"/>
      <c r="Q1309" s="30"/>
      <c r="R1309" s="30"/>
    </row>
    <row r="1310" spans="6:18" s="1" customFormat="1" x14ac:dyDescent="0.3">
      <c r="F1310" s="12"/>
      <c r="H1310" s="12"/>
      <c r="N1310" s="31"/>
      <c r="O1310" s="31"/>
      <c r="P1310" s="30"/>
      <c r="Q1310" s="30"/>
      <c r="R1310" s="30"/>
    </row>
    <row r="1311" spans="6:18" s="1" customFormat="1" x14ac:dyDescent="0.3">
      <c r="F1311" s="12"/>
      <c r="H1311" s="12"/>
      <c r="N1311" s="31"/>
      <c r="O1311" s="31"/>
      <c r="P1311" s="30"/>
      <c r="Q1311" s="30"/>
      <c r="R1311" s="30"/>
    </row>
    <row r="1312" spans="6:18" s="1" customFormat="1" x14ac:dyDescent="0.3">
      <c r="F1312" s="12"/>
      <c r="H1312" s="12"/>
      <c r="N1312" s="31"/>
      <c r="O1312" s="31"/>
      <c r="P1312" s="30"/>
      <c r="Q1312" s="30"/>
      <c r="R1312" s="30"/>
    </row>
    <row r="1313" spans="6:18" s="1" customFormat="1" x14ac:dyDescent="0.3">
      <c r="F1313" s="12"/>
      <c r="H1313" s="12"/>
      <c r="N1313" s="31"/>
      <c r="O1313" s="31"/>
      <c r="P1313" s="30"/>
      <c r="Q1313" s="30"/>
      <c r="R1313" s="30"/>
    </row>
    <row r="1314" spans="6:18" s="1" customFormat="1" x14ac:dyDescent="0.3">
      <c r="F1314" s="12"/>
      <c r="H1314" s="12"/>
      <c r="N1314" s="31"/>
      <c r="O1314" s="31"/>
      <c r="P1314" s="30"/>
      <c r="Q1314" s="30"/>
      <c r="R1314" s="30"/>
    </row>
    <row r="1315" spans="6:18" s="1" customFormat="1" x14ac:dyDescent="0.3">
      <c r="F1315" s="12"/>
      <c r="H1315" s="12"/>
      <c r="N1315" s="31"/>
      <c r="O1315" s="31"/>
      <c r="P1315" s="30"/>
      <c r="Q1315" s="30"/>
      <c r="R1315" s="30"/>
    </row>
    <row r="1316" spans="6:18" s="1" customFormat="1" x14ac:dyDescent="0.3">
      <c r="F1316" s="12"/>
      <c r="H1316" s="12"/>
      <c r="N1316" s="31"/>
      <c r="O1316" s="31"/>
      <c r="P1316" s="30"/>
      <c r="Q1316" s="30"/>
      <c r="R1316" s="30"/>
    </row>
    <row r="1317" spans="6:18" s="1" customFormat="1" x14ac:dyDescent="0.3">
      <c r="F1317" s="12"/>
      <c r="H1317" s="12"/>
      <c r="N1317" s="31"/>
      <c r="O1317" s="31"/>
      <c r="P1317" s="30"/>
      <c r="Q1317" s="30"/>
      <c r="R1317" s="30"/>
    </row>
    <row r="1318" spans="6:18" s="1" customFormat="1" x14ac:dyDescent="0.3">
      <c r="F1318" s="12"/>
      <c r="H1318" s="12"/>
      <c r="N1318" s="31"/>
      <c r="O1318" s="31"/>
      <c r="P1318" s="30"/>
      <c r="Q1318" s="30"/>
      <c r="R1318" s="30"/>
    </row>
    <row r="1319" spans="6:18" s="1" customFormat="1" x14ac:dyDescent="0.3">
      <c r="F1319" s="12"/>
      <c r="H1319" s="12"/>
      <c r="N1319" s="31"/>
      <c r="O1319" s="31"/>
      <c r="P1319" s="30"/>
      <c r="Q1319" s="30"/>
      <c r="R1319" s="30"/>
    </row>
    <row r="1320" spans="6:18" s="1" customFormat="1" x14ac:dyDescent="0.3">
      <c r="F1320" s="12"/>
      <c r="H1320" s="12"/>
      <c r="N1320" s="31"/>
      <c r="O1320" s="31"/>
      <c r="P1320" s="30"/>
      <c r="Q1320" s="30"/>
      <c r="R1320" s="30"/>
    </row>
    <row r="1321" spans="6:18" s="1" customFormat="1" x14ac:dyDescent="0.3">
      <c r="F1321" s="12"/>
      <c r="H1321" s="12"/>
      <c r="N1321" s="31"/>
      <c r="O1321" s="31"/>
      <c r="P1321" s="30"/>
      <c r="Q1321" s="30"/>
      <c r="R1321" s="30"/>
    </row>
    <row r="1322" spans="6:18" s="1" customFormat="1" x14ac:dyDescent="0.3">
      <c r="F1322" s="12"/>
      <c r="H1322" s="12"/>
      <c r="N1322" s="31"/>
      <c r="O1322" s="31"/>
      <c r="P1322" s="30"/>
      <c r="Q1322" s="30"/>
      <c r="R1322" s="30"/>
    </row>
    <row r="1323" spans="6:18" s="1" customFormat="1" x14ac:dyDescent="0.3">
      <c r="F1323" s="12"/>
      <c r="H1323" s="12"/>
      <c r="N1323" s="31"/>
      <c r="O1323" s="31"/>
      <c r="P1323" s="30"/>
      <c r="Q1323" s="30"/>
      <c r="R1323" s="30"/>
    </row>
    <row r="1324" spans="6:18" s="1" customFormat="1" x14ac:dyDescent="0.3">
      <c r="F1324" s="12"/>
      <c r="H1324" s="12"/>
      <c r="N1324" s="31"/>
      <c r="O1324" s="31"/>
      <c r="P1324" s="30"/>
      <c r="Q1324" s="30"/>
      <c r="R1324" s="30"/>
    </row>
    <row r="1325" spans="6:18" s="1" customFormat="1" x14ac:dyDescent="0.3">
      <c r="F1325" s="12"/>
      <c r="H1325" s="12"/>
      <c r="N1325" s="31"/>
      <c r="O1325" s="31"/>
      <c r="P1325" s="30"/>
      <c r="Q1325" s="30"/>
      <c r="R1325" s="30"/>
    </row>
    <row r="1326" spans="6:18" s="1" customFormat="1" x14ac:dyDescent="0.3">
      <c r="F1326" s="12"/>
      <c r="H1326" s="12"/>
      <c r="N1326" s="31"/>
      <c r="O1326" s="31"/>
      <c r="P1326" s="30"/>
      <c r="Q1326" s="30"/>
      <c r="R1326" s="30"/>
    </row>
    <row r="1327" spans="6:18" s="1" customFormat="1" x14ac:dyDescent="0.3">
      <c r="F1327" s="12"/>
      <c r="H1327" s="12"/>
      <c r="N1327" s="31"/>
      <c r="O1327" s="31"/>
      <c r="P1327" s="30"/>
      <c r="Q1327" s="30"/>
      <c r="R1327" s="30"/>
    </row>
    <row r="1328" spans="6:18" s="1" customFormat="1" x14ac:dyDescent="0.3">
      <c r="F1328" s="12"/>
      <c r="H1328" s="12"/>
      <c r="N1328" s="31"/>
      <c r="O1328" s="31"/>
      <c r="P1328" s="30"/>
      <c r="Q1328" s="30"/>
      <c r="R1328" s="30"/>
    </row>
    <row r="1329" spans="6:18" s="1" customFormat="1" x14ac:dyDescent="0.3">
      <c r="F1329" s="12"/>
      <c r="H1329" s="12"/>
      <c r="N1329" s="31"/>
      <c r="O1329" s="31"/>
      <c r="P1329" s="30"/>
      <c r="Q1329" s="30"/>
      <c r="R1329" s="30"/>
    </row>
    <row r="1330" spans="6:18" s="1" customFormat="1" x14ac:dyDescent="0.3">
      <c r="F1330" s="12"/>
      <c r="H1330" s="12"/>
      <c r="N1330" s="31"/>
      <c r="O1330" s="31"/>
      <c r="P1330" s="30"/>
      <c r="Q1330" s="30"/>
      <c r="R1330" s="30"/>
    </row>
    <row r="1331" spans="6:18" s="1" customFormat="1" x14ac:dyDescent="0.3">
      <c r="F1331" s="12"/>
      <c r="H1331" s="12"/>
      <c r="N1331" s="31"/>
      <c r="O1331" s="31"/>
      <c r="P1331" s="30"/>
      <c r="Q1331" s="30"/>
      <c r="R1331" s="30"/>
    </row>
    <row r="1332" spans="6:18" s="1" customFormat="1" x14ac:dyDescent="0.3">
      <c r="F1332" s="12"/>
      <c r="H1332" s="12"/>
      <c r="N1332" s="31"/>
      <c r="O1332" s="31"/>
      <c r="P1332" s="30"/>
      <c r="Q1332" s="30"/>
      <c r="R1332" s="30"/>
    </row>
    <row r="1333" spans="6:18" s="1" customFormat="1" x14ac:dyDescent="0.3">
      <c r="F1333" s="12"/>
      <c r="H1333" s="12"/>
      <c r="N1333" s="31"/>
      <c r="O1333" s="31"/>
      <c r="P1333" s="30"/>
      <c r="Q1333" s="30"/>
      <c r="R1333" s="30"/>
    </row>
    <row r="1334" spans="6:18" s="1" customFormat="1" x14ac:dyDescent="0.3">
      <c r="F1334" s="12"/>
      <c r="H1334" s="12"/>
      <c r="N1334" s="31"/>
      <c r="O1334" s="31"/>
      <c r="P1334" s="30"/>
      <c r="Q1334" s="30"/>
      <c r="R1334" s="30"/>
    </row>
    <row r="1335" spans="6:18" s="1" customFormat="1" x14ac:dyDescent="0.3">
      <c r="F1335" s="12"/>
      <c r="H1335" s="12"/>
      <c r="N1335" s="31"/>
      <c r="O1335" s="31"/>
      <c r="P1335" s="30"/>
      <c r="Q1335" s="30"/>
      <c r="R1335" s="30"/>
    </row>
    <row r="1336" spans="6:18" s="1" customFormat="1" x14ac:dyDescent="0.3">
      <c r="F1336" s="12"/>
      <c r="H1336" s="12"/>
      <c r="N1336" s="31"/>
      <c r="O1336" s="31"/>
      <c r="P1336" s="30"/>
      <c r="Q1336" s="30"/>
      <c r="R1336" s="30"/>
    </row>
    <row r="1337" spans="6:18" s="1" customFormat="1" x14ac:dyDescent="0.3">
      <c r="F1337" s="12"/>
      <c r="H1337" s="12"/>
      <c r="N1337" s="31"/>
      <c r="O1337" s="31"/>
      <c r="P1337" s="30"/>
      <c r="Q1337" s="30"/>
      <c r="R1337" s="30"/>
    </row>
    <row r="1338" spans="6:18" s="1" customFormat="1" x14ac:dyDescent="0.3">
      <c r="F1338" s="12"/>
      <c r="H1338" s="12"/>
      <c r="N1338" s="31"/>
      <c r="O1338" s="31"/>
      <c r="P1338" s="30"/>
      <c r="Q1338" s="30"/>
      <c r="R1338" s="30"/>
    </row>
    <row r="1339" spans="6:18" s="1" customFormat="1" x14ac:dyDescent="0.3">
      <c r="F1339" s="12"/>
      <c r="H1339" s="12"/>
      <c r="N1339" s="31"/>
      <c r="O1339" s="31"/>
      <c r="P1339" s="30"/>
      <c r="Q1339" s="30"/>
      <c r="R1339" s="30"/>
    </row>
    <row r="1340" spans="6:18" s="1" customFormat="1" x14ac:dyDescent="0.3">
      <c r="F1340" s="12"/>
      <c r="H1340" s="12"/>
      <c r="N1340" s="31"/>
      <c r="O1340" s="31"/>
      <c r="P1340" s="30"/>
      <c r="Q1340" s="30"/>
      <c r="R1340" s="30"/>
    </row>
    <row r="1341" spans="6:18" s="1" customFormat="1" x14ac:dyDescent="0.3">
      <c r="F1341" s="12"/>
      <c r="H1341" s="12"/>
      <c r="N1341" s="31"/>
      <c r="O1341" s="31"/>
      <c r="P1341" s="30"/>
      <c r="Q1341" s="30"/>
      <c r="R1341" s="30"/>
    </row>
    <row r="1342" spans="6:18" s="1" customFormat="1" x14ac:dyDescent="0.3">
      <c r="F1342" s="12"/>
      <c r="H1342" s="12"/>
      <c r="N1342" s="31"/>
      <c r="O1342" s="31"/>
      <c r="P1342" s="30"/>
      <c r="Q1342" s="30"/>
      <c r="R1342" s="30"/>
    </row>
    <row r="1343" spans="6:18" s="1" customFormat="1" x14ac:dyDescent="0.3">
      <c r="F1343" s="12"/>
      <c r="H1343" s="12"/>
      <c r="N1343" s="31"/>
      <c r="O1343" s="31"/>
      <c r="P1343" s="30"/>
      <c r="Q1343" s="30"/>
      <c r="R1343" s="30"/>
    </row>
    <row r="1344" spans="6:18" s="1" customFormat="1" x14ac:dyDescent="0.3">
      <c r="F1344" s="12"/>
      <c r="H1344" s="12"/>
      <c r="N1344" s="31"/>
      <c r="O1344" s="31"/>
      <c r="P1344" s="30"/>
      <c r="Q1344" s="30"/>
      <c r="R1344" s="30"/>
    </row>
    <row r="1345" spans="6:18" s="1" customFormat="1" x14ac:dyDescent="0.3">
      <c r="F1345" s="12"/>
      <c r="H1345" s="12"/>
      <c r="N1345" s="31"/>
      <c r="O1345" s="31"/>
      <c r="P1345" s="30"/>
      <c r="Q1345" s="30"/>
      <c r="R1345" s="30"/>
    </row>
    <row r="1346" spans="6:18" s="1" customFormat="1" x14ac:dyDescent="0.3">
      <c r="F1346" s="12"/>
      <c r="H1346" s="12"/>
      <c r="N1346" s="31"/>
      <c r="O1346" s="31"/>
      <c r="P1346" s="30"/>
      <c r="Q1346" s="30"/>
      <c r="R1346" s="30"/>
    </row>
    <row r="1347" spans="6:18" s="1" customFormat="1" x14ac:dyDescent="0.3">
      <c r="F1347" s="12"/>
      <c r="H1347" s="12"/>
      <c r="N1347" s="31"/>
      <c r="O1347" s="31"/>
      <c r="P1347" s="30"/>
      <c r="Q1347" s="30"/>
      <c r="R1347" s="30"/>
    </row>
    <row r="1348" spans="6:18" s="1" customFormat="1" x14ac:dyDescent="0.3">
      <c r="F1348" s="12"/>
      <c r="H1348" s="12"/>
      <c r="N1348" s="31"/>
      <c r="O1348" s="31"/>
      <c r="P1348" s="30"/>
      <c r="Q1348" s="30"/>
      <c r="R1348" s="30"/>
    </row>
    <row r="1349" spans="6:18" s="1" customFormat="1" x14ac:dyDescent="0.3">
      <c r="F1349" s="12"/>
      <c r="H1349" s="12"/>
      <c r="N1349" s="31"/>
      <c r="O1349" s="31"/>
      <c r="P1349" s="30"/>
      <c r="Q1349" s="30"/>
      <c r="R1349" s="30"/>
    </row>
    <row r="1350" spans="6:18" s="1" customFormat="1" x14ac:dyDescent="0.3">
      <c r="F1350" s="12"/>
      <c r="H1350" s="12"/>
      <c r="N1350" s="31"/>
      <c r="O1350" s="31"/>
      <c r="P1350" s="30"/>
      <c r="Q1350" s="30"/>
      <c r="R1350" s="30"/>
    </row>
    <row r="1351" spans="6:18" s="1" customFormat="1" x14ac:dyDescent="0.3">
      <c r="F1351" s="12"/>
      <c r="H1351" s="12"/>
      <c r="N1351" s="31"/>
      <c r="O1351" s="31"/>
      <c r="P1351" s="30"/>
      <c r="Q1351" s="30"/>
      <c r="R1351" s="30"/>
    </row>
    <row r="1352" spans="6:18" s="1" customFormat="1" x14ac:dyDescent="0.3">
      <c r="F1352" s="12"/>
      <c r="H1352" s="12"/>
      <c r="N1352" s="31"/>
      <c r="O1352" s="31"/>
      <c r="P1352" s="30"/>
      <c r="Q1352" s="30"/>
      <c r="R1352" s="30"/>
    </row>
    <row r="1353" spans="6:18" s="1" customFormat="1" x14ac:dyDescent="0.3">
      <c r="F1353" s="12"/>
      <c r="H1353" s="12"/>
      <c r="N1353" s="31"/>
      <c r="O1353" s="31"/>
      <c r="P1353" s="30"/>
      <c r="Q1353" s="30"/>
      <c r="R1353" s="30"/>
    </row>
    <row r="1354" spans="6:18" s="1" customFormat="1" x14ac:dyDescent="0.3">
      <c r="F1354" s="12"/>
      <c r="H1354" s="12"/>
      <c r="N1354" s="31"/>
      <c r="O1354" s="31"/>
      <c r="P1354" s="30"/>
      <c r="Q1354" s="30"/>
      <c r="R1354" s="30"/>
    </row>
    <row r="1355" spans="6:18" s="1" customFormat="1" x14ac:dyDescent="0.3">
      <c r="F1355" s="12"/>
      <c r="H1355" s="12"/>
      <c r="N1355" s="31"/>
      <c r="O1355" s="31"/>
      <c r="P1355" s="30"/>
      <c r="Q1355" s="30"/>
      <c r="R1355" s="30"/>
    </row>
    <row r="1356" spans="6:18" s="1" customFormat="1" x14ac:dyDescent="0.3">
      <c r="F1356" s="12"/>
      <c r="H1356" s="12"/>
      <c r="N1356" s="31"/>
      <c r="O1356" s="31"/>
      <c r="P1356" s="30"/>
      <c r="Q1356" s="30"/>
      <c r="R1356" s="30"/>
    </row>
    <row r="1357" spans="6:18" s="1" customFormat="1" x14ac:dyDescent="0.3">
      <c r="F1357" s="12"/>
      <c r="H1357" s="12"/>
      <c r="N1357" s="31"/>
      <c r="O1357" s="31"/>
      <c r="P1357" s="30"/>
      <c r="Q1357" s="30"/>
      <c r="R1357" s="30"/>
    </row>
    <row r="1358" spans="6:18" s="1" customFormat="1" x14ac:dyDescent="0.3">
      <c r="F1358" s="12"/>
      <c r="H1358" s="12"/>
      <c r="N1358" s="31"/>
      <c r="O1358" s="31"/>
      <c r="P1358" s="30"/>
      <c r="Q1358" s="30"/>
      <c r="R1358" s="30"/>
    </row>
    <row r="1359" spans="6:18" s="1" customFormat="1" x14ac:dyDescent="0.3">
      <c r="F1359" s="12"/>
      <c r="H1359" s="12"/>
      <c r="N1359" s="31"/>
      <c r="O1359" s="31"/>
      <c r="P1359" s="30"/>
      <c r="Q1359" s="30"/>
      <c r="R1359" s="30"/>
    </row>
    <row r="1360" spans="6:18" s="1" customFormat="1" x14ac:dyDescent="0.3">
      <c r="F1360" s="12"/>
      <c r="H1360" s="12"/>
      <c r="N1360" s="31"/>
      <c r="O1360" s="31"/>
      <c r="P1360" s="30"/>
      <c r="Q1360" s="30"/>
      <c r="R1360" s="30"/>
    </row>
    <row r="1361" spans="6:18" s="1" customFormat="1" x14ac:dyDescent="0.3">
      <c r="F1361" s="12"/>
      <c r="H1361" s="12"/>
      <c r="N1361" s="31"/>
      <c r="O1361" s="31"/>
      <c r="P1361" s="30"/>
      <c r="Q1361" s="30"/>
      <c r="R1361" s="30"/>
    </row>
    <row r="1362" spans="6:18" s="1" customFormat="1" x14ac:dyDescent="0.3">
      <c r="F1362" s="12"/>
      <c r="H1362" s="12"/>
      <c r="N1362" s="31"/>
      <c r="O1362" s="31"/>
      <c r="P1362" s="30"/>
      <c r="Q1362" s="30"/>
      <c r="R1362" s="30"/>
    </row>
    <row r="1363" spans="6:18" s="1" customFormat="1" x14ac:dyDescent="0.3">
      <c r="F1363" s="12"/>
      <c r="H1363" s="12"/>
      <c r="N1363" s="31"/>
      <c r="O1363" s="31"/>
      <c r="P1363" s="30"/>
      <c r="Q1363" s="30"/>
      <c r="R1363" s="30"/>
    </row>
    <row r="1364" spans="6:18" s="1" customFormat="1" x14ac:dyDescent="0.3">
      <c r="F1364" s="12"/>
      <c r="H1364" s="12"/>
      <c r="N1364" s="31"/>
      <c r="O1364" s="31"/>
      <c r="P1364" s="30"/>
      <c r="Q1364" s="30"/>
      <c r="R1364" s="30"/>
    </row>
    <row r="1365" spans="6:18" s="1" customFormat="1" x14ac:dyDescent="0.3">
      <c r="F1365" s="12"/>
      <c r="H1365" s="12"/>
      <c r="N1365" s="31"/>
      <c r="O1365" s="31"/>
      <c r="P1365" s="30"/>
      <c r="Q1365" s="30"/>
      <c r="R1365" s="30"/>
    </row>
    <row r="1366" spans="6:18" s="1" customFormat="1" x14ac:dyDescent="0.3">
      <c r="F1366" s="12"/>
      <c r="H1366" s="12"/>
      <c r="N1366" s="31"/>
      <c r="O1366" s="31"/>
      <c r="P1366" s="30"/>
      <c r="Q1366" s="30"/>
      <c r="R1366" s="30"/>
    </row>
    <row r="1367" spans="6:18" s="1" customFormat="1" x14ac:dyDescent="0.3">
      <c r="F1367" s="12"/>
      <c r="H1367" s="12"/>
      <c r="N1367" s="31"/>
      <c r="O1367" s="31"/>
      <c r="P1367" s="30"/>
      <c r="Q1367" s="30"/>
      <c r="R1367" s="30"/>
    </row>
    <row r="1368" spans="6:18" s="1" customFormat="1" x14ac:dyDescent="0.3">
      <c r="F1368" s="12"/>
      <c r="H1368" s="12"/>
      <c r="N1368" s="31"/>
      <c r="O1368" s="31"/>
      <c r="P1368" s="30"/>
      <c r="Q1368" s="30"/>
      <c r="R1368" s="30"/>
    </row>
    <row r="1369" spans="6:18" s="1" customFormat="1" x14ac:dyDescent="0.3">
      <c r="F1369" s="12"/>
      <c r="H1369" s="12"/>
      <c r="N1369" s="31"/>
      <c r="O1369" s="31"/>
      <c r="P1369" s="30"/>
      <c r="Q1369" s="30"/>
      <c r="R1369" s="30"/>
    </row>
    <row r="1370" spans="6:18" s="1" customFormat="1" x14ac:dyDescent="0.3">
      <c r="F1370" s="12"/>
      <c r="H1370" s="12"/>
      <c r="N1370" s="31"/>
      <c r="O1370" s="31"/>
      <c r="P1370" s="30"/>
      <c r="Q1370" s="30"/>
      <c r="R1370" s="30"/>
    </row>
    <row r="1371" spans="6:18" s="1" customFormat="1" x14ac:dyDescent="0.3">
      <c r="F1371" s="12"/>
      <c r="H1371" s="12"/>
      <c r="N1371" s="31"/>
      <c r="O1371" s="31"/>
      <c r="P1371" s="30"/>
      <c r="Q1371" s="30"/>
      <c r="R1371" s="30"/>
    </row>
    <row r="1372" spans="6:18" s="1" customFormat="1" x14ac:dyDescent="0.3">
      <c r="F1372" s="12"/>
      <c r="H1372" s="12"/>
      <c r="N1372" s="31"/>
      <c r="O1372" s="31"/>
      <c r="P1372" s="30"/>
      <c r="Q1372" s="30"/>
      <c r="R1372" s="30"/>
    </row>
    <row r="1373" spans="6:18" s="1" customFormat="1" x14ac:dyDescent="0.3">
      <c r="F1373" s="12"/>
      <c r="H1373" s="12"/>
      <c r="N1373" s="31"/>
      <c r="O1373" s="31"/>
      <c r="P1373" s="30"/>
      <c r="Q1373" s="30"/>
      <c r="R1373" s="30"/>
    </row>
    <row r="1374" spans="6:18" s="1" customFormat="1" x14ac:dyDescent="0.3">
      <c r="F1374" s="12"/>
      <c r="H1374" s="12"/>
      <c r="N1374" s="31"/>
      <c r="O1374" s="31"/>
      <c r="P1374" s="30"/>
      <c r="Q1374" s="30"/>
      <c r="R1374" s="30"/>
    </row>
    <row r="1375" spans="6:18" s="1" customFormat="1" x14ac:dyDescent="0.3">
      <c r="F1375" s="12"/>
      <c r="H1375" s="12"/>
      <c r="N1375" s="31"/>
      <c r="O1375" s="31"/>
      <c r="P1375" s="30"/>
      <c r="Q1375" s="30"/>
      <c r="R1375" s="30"/>
    </row>
    <row r="1376" spans="6:18" s="1" customFormat="1" x14ac:dyDescent="0.3">
      <c r="F1376" s="12"/>
      <c r="H1376" s="12"/>
      <c r="N1376" s="31"/>
      <c r="O1376" s="31"/>
      <c r="P1376" s="30"/>
      <c r="Q1376" s="30"/>
      <c r="R1376" s="30"/>
    </row>
    <row r="1377" spans="6:18" s="1" customFormat="1" x14ac:dyDescent="0.3">
      <c r="F1377" s="12"/>
      <c r="H1377" s="12"/>
      <c r="N1377" s="31"/>
      <c r="O1377" s="31"/>
      <c r="P1377" s="30"/>
      <c r="Q1377" s="30"/>
      <c r="R1377" s="30"/>
    </row>
    <row r="1378" spans="6:18" s="1" customFormat="1" x14ac:dyDescent="0.3">
      <c r="F1378" s="12"/>
      <c r="H1378" s="12"/>
      <c r="N1378" s="31"/>
      <c r="O1378" s="31"/>
      <c r="P1378" s="30"/>
      <c r="Q1378" s="30"/>
      <c r="R1378" s="30"/>
    </row>
    <row r="1379" spans="6:18" s="1" customFormat="1" x14ac:dyDescent="0.3">
      <c r="F1379" s="12"/>
      <c r="H1379" s="12"/>
      <c r="N1379" s="31"/>
      <c r="O1379" s="31"/>
      <c r="P1379" s="30"/>
      <c r="Q1379" s="30"/>
      <c r="R1379" s="30"/>
    </row>
    <row r="1380" spans="6:18" s="1" customFormat="1" x14ac:dyDescent="0.3">
      <c r="F1380" s="12"/>
      <c r="H1380" s="12"/>
      <c r="N1380" s="31"/>
      <c r="O1380" s="31"/>
      <c r="P1380" s="30"/>
      <c r="Q1380" s="30"/>
      <c r="R1380" s="30"/>
    </row>
    <row r="1381" spans="6:18" s="1" customFormat="1" x14ac:dyDescent="0.3">
      <c r="F1381" s="12"/>
      <c r="H1381" s="12"/>
      <c r="N1381" s="31"/>
      <c r="O1381" s="31"/>
      <c r="P1381" s="30"/>
      <c r="Q1381" s="30"/>
      <c r="R1381" s="30"/>
    </row>
    <row r="1382" spans="6:18" s="1" customFormat="1" x14ac:dyDescent="0.3">
      <c r="F1382" s="12"/>
      <c r="H1382" s="12"/>
      <c r="N1382" s="31"/>
      <c r="O1382" s="31"/>
      <c r="P1382" s="30"/>
      <c r="Q1382" s="30"/>
      <c r="R1382" s="30"/>
    </row>
    <row r="1383" spans="6:18" s="1" customFormat="1" x14ac:dyDescent="0.3">
      <c r="F1383" s="12"/>
      <c r="H1383" s="12"/>
      <c r="N1383" s="31"/>
      <c r="O1383" s="31"/>
      <c r="P1383" s="30"/>
      <c r="Q1383" s="30"/>
      <c r="R1383" s="30"/>
    </row>
    <row r="1384" spans="6:18" s="1" customFormat="1" x14ac:dyDescent="0.3">
      <c r="F1384" s="12"/>
      <c r="H1384" s="12"/>
      <c r="N1384" s="31"/>
      <c r="O1384" s="31"/>
      <c r="P1384" s="30"/>
      <c r="Q1384" s="30"/>
      <c r="R1384" s="30"/>
    </row>
    <row r="1385" spans="6:18" s="1" customFormat="1" x14ac:dyDescent="0.3">
      <c r="F1385" s="12"/>
      <c r="H1385" s="12"/>
      <c r="N1385" s="31"/>
      <c r="O1385" s="31"/>
      <c r="P1385" s="30"/>
      <c r="Q1385" s="30"/>
      <c r="R1385" s="30"/>
    </row>
    <row r="1386" spans="6:18" s="1" customFormat="1" x14ac:dyDescent="0.3">
      <c r="F1386" s="12"/>
      <c r="H1386" s="12"/>
      <c r="N1386" s="31"/>
      <c r="O1386" s="31"/>
      <c r="P1386" s="30"/>
      <c r="Q1386" s="30"/>
      <c r="R1386" s="30"/>
    </row>
    <row r="1387" spans="6:18" s="1" customFormat="1" x14ac:dyDescent="0.3">
      <c r="F1387" s="12"/>
      <c r="H1387" s="12"/>
      <c r="N1387" s="31"/>
      <c r="O1387" s="31"/>
      <c r="P1387" s="30"/>
      <c r="Q1387" s="30"/>
      <c r="R1387" s="30"/>
    </row>
    <row r="1388" spans="6:18" s="1" customFormat="1" x14ac:dyDescent="0.3">
      <c r="F1388" s="12"/>
      <c r="H1388" s="12"/>
      <c r="N1388" s="31"/>
      <c r="O1388" s="31"/>
      <c r="P1388" s="30"/>
      <c r="Q1388" s="30"/>
      <c r="R1388" s="30"/>
    </row>
    <row r="1389" spans="6:18" s="1" customFormat="1" x14ac:dyDescent="0.3">
      <c r="F1389" s="12"/>
      <c r="H1389" s="12"/>
      <c r="N1389" s="31"/>
      <c r="O1389" s="31"/>
      <c r="P1389" s="30"/>
      <c r="Q1389" s="30"/>
      <c r="R1389" s="30"/>
    </row>
    <row r="1390" spans="6:18" s="1" customFormat="1" x14ac:dyDescent="0.3">
      <c r="F1390" s="12"/>
      <c r="H1390" s="12"/>
      <c r="N1390" s="31"/>
      <c r="O1390" s="31"/>
      <c r="P1390" s="30"/>
      <c r="Q1390" s="30"/>
      <c r="R1390" s="30"/>
    </row>
    <row r="1391" spans="6:18" s="1" customFormat="1" x14ac:dyDescent="0.3">
      <c r="F1391" s="12"/>
      <c r="H1391" s="12"/>
      <c r="N1391" s="31"/>
      <c r="O1391" s="31"/>
      <c r="P1391" s="30"/>
      <c r="Q1391" s="30"/>
      <c r="R1391" s="30"/>
    </row>
    <row r="1392" spans="6:18" s="1" customFormat="1" x14ac:dyDescent="0.3">
      <c r="F1392" s="12"/>
      <c r="H1392" s="12"/>
      <c r="N1392" s="31"/>
      <c r="O1392" s="31"/>
      <c r="P1392" s="30"/>
      <c r="Q1392" s="30"/>
      <c r="R1392" s="30"/>
    </row>
    <row r="1393" spans="6:18" s="1" customFormat="1" x14ac:dyDescent="0.3">
      <c r="F1393" s="12"/>
      <c r="H1393" s="12"/>
      <c r="N1393" s="31"/>
      <c r="O1393" s="31"/>
      <c r="P1393" s="30"/>
      <c r="Q1393" s="30"/>
      <c r="R1393" s="30"/>
    </row>
    <row r="1394" spans="6:18" s="1" customFormat="1" x14ac:dyDescent="0.3">
      <c r="F1394" s="12"/>
      <c r="H1394" s="12"/>
      <c r="N1394" s="31"/>
      <c r="O1394" s="31"/>
      <c r="P1394" s="30"/>
      <c r="Q1394" s="30"/>
      <c r="R1394" s="30"/>
    </row>
    <row r="1395" spans="6:18" s="1" customFormat="1" x14ac:dyDescent="0.3">
      <c r="F1395" s="12"/>
      <c r="H1395" s="12"/>
      <c r="N1395" s="31"/>
      <c r="O1395" s="31"/>
      <c r="P1395" s="30"/>
      <c r="Q1395" s="30"/>
      <c r="R1395" s="30"/>
    </row>
    <row r="1396" spans="6:18" s="1" customFormat="1" x14ac:dyDescent="0.3">
      <c r="F1396" s="12"/>
      <c r="H1396" s="12"/>
      <c r="N1396" s="31"/>
      <c r="O1396" s="31"/>
      <c r="P1396" s="30"/>
      <c r="Q1396" s="30"/>
      <c r="R1396" s="30"/>
    </row>
    <row r="1397" spans="6:18" s="1" customFormat="1" x14ac:dyDescent="0.3">
      <c r="F1397" s="12"/>
      <c r="H1397" s="12"/>
      <c r="N1397" s="31"/>
      <c r="O1397" s="31"/>
      <c r="P1397" s="30"/>
      <c r="Q1397" s="30"/>
      <c r="R1397" s="30"/>
    </row>
    <row r="1398" spans="6:18" s="1" customFormat="1" x14ac:dyDescent="0.3">
      <c r="F1398" s="12"/>
      <c r="H1398" s="12"/>
      <c r="N1398" s="31"/>
      <c r="O1398" s="31"/>
      <c r="P1398" s="30"/>
      <c r="Q1398" s="30"/>
      <c r="R1398" s="30"/>
    </row>
    <row r="1399" spans="6:18" s="1" customFormat="1" x14ac:dyDescent="0.3">
      <c r="F1399" s="12"/>
      <c r="H1399" s="12"/>
      <c r="N1399" s="31"/>
      <c r="O1399" s="31"/>
      <c r="P1399" s="30"/>
      <c r="Q1399" s="30"/>
      <c r="R1399" s="30"/>
    </row>
    <row r="1400" spans="6:18" s="1" customFormat="1" x14ac:dyDescent="0.3">
      <c r="F1400" s="12"/>
      <c r="H1400" s="12"/>
      <c r="N1400" s="31"/>
      <c r="O1400" s="31"/>
      <c r="P1400" s="30"/>
      <c r="Q1400" s="30"/>
      <c r="R1400" s="30"/>
    </row>
    <row r="1401" spans="6:18" s="1" customFormat="1" x14ac:dyDescent="0.3">
      <c r="F1401" s="12"/>
      <c r="H1401" s="12"/>
      <c r="N1401" s="31"/>
      <c r="O1401" s="31"/>
      <c r="P1401" s="30"/>
      <c r="Q1401" s="30"/>
      <c r="R1401" s="30"/>
    </row>
    <row r="1402" spans="6:18" s="1" customFormat="1" x14ac:dyDescent="0.3">
      <c r="F1402" s="12"/>
      <c r="H1402" s="12"/>
      <c r="N1402" s="31"/>
      <c r="O1402" s="31"/>
      <c r="P1402" s="30"/>
      <c r="Q1402" s="30"/>
      <c r="R1402" s="30"/>
    </row>
    <row r="1403" spans="6:18" s="1" customFormat="1" x14ac:dyDescent="0.3">
      <c r="F1403" s="12"/>
      <c r="H1403" s="12"/>
      <c r="N1403" s="31"/>
      <c r="O1403" s="31"/>
      <c r="P1403" s="30"/>
      <c r="Q1403" s="30"/>
      <c r="R1403" s="30"/>
    </row>
    <row r="1404" spans="6:18" s="1" customFormat="1" x14ac:dyDescent="0.3">
      <c r="F1404" s="12"/>
      <c r="H1404" s="12"/>
      <c r="N1404" s="31"/>
      <c r="O1404" s="31"/>
      <c r="P1404" s="30"/>
      <c r="Q1404" s="30"/>
      <c r="R1404" s="30"/>
    </row>
    <row r="1405" spans="6:18" s="1" customFormat="1" x14ac:dyDescent="0.3">
      <c r="F1405" s="12"/>
      <c r="H1405" s="12"/>
      <c r="N1405" s="31"/>
      <c r="O1405" s="31"/>
      <c r="P1405" s="30"/>
      <c r="Q1405" s="30"/>
      <c r="R1405" s="30"/>
    </row>
    <row r="1406" spans="6:18" s="1" customFormat="1" x14ac:dyDescent="0.3">
      <c r="F1406" s="12"/>
      <c r="H1406" s="12"/>
      <c r="N1406" s="31"/>
      <c r="O1406" s="31"/>
      <c r="P1406" s="30"/>
      <c r="Q1406" s="30"/>
      <c r="R1406" s="30"/>
    </row>
    <row r="1407" spans="6:18" s="1" customFormat="1" x14ac:dyDescent="0.3">
      <c r="F1407" s="12"/>
      <c r="H1407" s="12"/>
      <c r="N1407" s="31"/>
      <c r="O1407" s="31"/>
      <c r="P1407" s="30"/>
      <c r="Q1407" s="30"/>
      <c r="R1407" s="30"/>
    </row>
    <row r="1408" spans="6:18" s="1" customFormat="1" x14ac:dyDescent="0.3">
      <c r="F1408" s="12"/>
      <c r="H1408" s="12"/>
      <c r="N1408" s="31"/>
      <c r="O1408" s="31"/>
      <c r="P1408" s="30"/>
      <c r="Q1408" s="30"/>
      <c r="R1408" s="30"/>
    </row>
    <row r="1409" spans="6:18" s="1" customFormat="1" x14ac:dyDescent="0.3">
      <c r="F1409" s="12"/>
      <c r="H1409" s="12"/>
      <c r="N1409" s="31"/>
      <c r="O1409" s="31"/>
      <c r="P1409" s="30"/>
      <c r="Q1409" s="30"/>
      <c r="R1409" s="30"/>
    </row>
    <row r="1410" spans="6:18" s="1" customFormat="1" x14ac:dyDescent="0.3">
      <c r="F1410" s="12"/>
      <c r="H1410" s="12"/>
      <c r="N1410" s="31"/>
      <c r="O1410" s="31"/>
      <c r="P1410" s="30"/>
      <c r="Q1410" s="30"/>
      <c r="R1410" s="30"/>
    </row>
    <row r="1411" spans="6:18" s="1" customFormat="1" x14ac:dyDescent="0.3">
      <c r="F1411" s="12"/>
      <c r="H1411" s="12"/>
      <c r="N1411" s="31"/>
      <c r="O1411" s="31"/>
      <c r="P1411" s="30"/>
      <c r="Q1411" s="30"/>
      <c r="R1411" s="30"/>
    </row>
    <row r="1412" spans="6:18" s="1" customFormat="1" x14ac:dyDescent="0.3">
      <c r="F1412" s="12"/>
      <c r="H1412" s="12"/>
      <c r="N1412" s="31"/>
      <c r="O1412" s="31"/>
      <c r="P1412" s="30"/>
      <c r="Q1412" s="30"/>
      <c r="R1412" s="30"/>
    </row>
    <row r="1413" spans="6:18" s="1" customFormat="1" x14ac:dyDescent="0.3">
      <c r="F1413" s="12"/>
      <c r="H1413" s="12"/>
      <c r="N1413" s="31"/>
      <c r="O1413" s="31"/>
      <c r="P1413" s="30"/>
      <c r="Q1413" s="30"/>
      <c r="R1413" s="30"/>
    </row>
    <row r="1414" spans="6:18" s="1" customFormat="1" x14ac:dyDescent="0.3">
      <c r="F1414" s="12"/>
      <c r="H1414" s="12"/>
      <c r="N1414" s="31"/>
      <c r="O1414" s="31"/>
      <c r="P1414" s="30"/>
      <c r="Q1414" s="30"/>
      <c r="R1414" s="30"/>
    </row>
    <row r="1415" spans="6:18" s="1" customFormat="1" x14ac:dyDescent="0.3">
      <c r="F1415" s="12"/>
      <c r="H1415" s="12"/>
      <c r="N1415" s="31"/>
      <c r="O1415" s="31"/>
      <c r="P1415" s="30"/>
      <c r="Q1415" s="30"/>
      <c r="R1415" s="30"/>
    </row>
    <row r="1416" spans="6:18" s="1" customFormat="1" x14ac:dyDescent="0.3">
      <c r="F1416" s="12"/>
      <c r="H1416" s="12"/>
      <c r="N1416" s="31"/>
      <c r="O1416" s="31"/>
      <c r="P1416" s="30"/>
      <c r="Q1416" s="30"/>
      <c r="R1416" s="30"/>
    </row>
    <row r="1417" spans="6:18" s="1" customFormat="1" x14ac:dyDescent="0.3">
      <c r="F1417" s="12"/>
      <c r="H1417" s="12"/>
      <c r="N1417" s="31"/>
      <c r="O1417" s="31"/>
      <c r="P1417" s="30"/>
      <c r="Q1417" s="30"/>
      <c r="R1417" s="30"/>
    </row>
    <row r="1418" spans="6:18" s="1" customFormat="1" x14ac:dyDescent="0.3">
      <c r="F1418" s="12"/>
      <c r="H1418" s="12"/>
      <c r="N1418" s="31"/>
      <c r="O1418" s="31"/>
      <c r="P1418" s="30"/>
      <c r="Q1418" s="30"/>
      <c r="R1418" s="30"/>
    </row>
    <row r="1419" spans="6:18" s="1" customFormat="1" x14ac:dyDescent="0.3">
      <c r="F1419" s="12"/>
      <c r="H1419" s="12"/>
      <c r="N1419" s="31"/>
      <c r="O1419" s="31"/>
      <c r="P1419" s="30"/>
      <c r="Q1419" s="30"/>
      <c r="R1419" s="30"/>
    </row>
    <row r="1420" spans="6:18" s="1" customFormat="1" x14ac:dyDescent="0.3">
      <c r="F1420" s="12"/>
      <c r="H1420" s="12"/>
      <c r="N1420" s="31"/>
      <c r="O1420" s="31"/>
      <c r="P1420" s="30"/>
      <c r="Q1420" s="30"/>
      <c r="R1420" s="30"/>
    </row>
    <row r="1421" spans="6:18" s="1" customFormat="1" x14ac:dyDescent="0.3">
      <c r="F1421" s="12"/>
      <c r="H1421" s="12"/>
      <c r="N1421" s="31"/>
      <c r="O1421" s="31"/>
      <c r="P1421" s="30"/>
      <c r="Q1421" s="30"/>
      <c r="R1421" s="30"/>
    </row>
    <row r="1422" spans="6:18" s="1" customFormat="1" x14ac:dyDescent="0.3">
      <c r="F1422" s="12"/>
      <c r="H1422" s="12"/>
      <c r="N1422" s="31"/>
      <c r="O1422" s="31"/>
      <c r="P1422" s="30"/>
      <c r="Q1422" s="30"/>
      <c r="R1422" s="30"/>
    </row>
    <row r="1423" spans="6:18" s="1" customFormat="1" x14ac:dyDescent="0.3">
      <c r="F1423" s="12"/>
      <c r="H1423" s="12"/>
      <c r="N1423" s="31"/>
      <c r="O1423" s="31"/>
      <c r="P1423" s="30"/>
      <c r="Q1423" s="30"/>
      <c r="R1423" s="30"/>
    </row>
    <row r="1424" spans="6:18" s="1" customFormat="1" x14ac:dyDescent="0.3">
      <c r="F1424" s="12"/>
      <c r="H1424" s="12"/>
      <c r="N1424" s="31"/>
      <c r="O1424" s="31"/>
      <c r="P1424" s="30"/>
      <c r="Q1424" s="30"/>
      <c r="R1424" s="30"/>
    </row>
    <row r="1425" spans="6:18" s="1" customFormat="1" x14ac:dyDescent="0.3">
      <c r="F1425" s="12"/>
      <c r="H1425" s="12"/>
      <c r="N1425" s="31"/>
      <c r="O1425" s="31"/>
      <c r="P1425" s="30"/>
      <c r="Q1425" s="30"/>
      <c r="R1425" s="30"/>
    </row>
    <row r="1426" spans="6:18" s="1" customFormat="1" x14ac:dyDescent="0.3">
      <c r="F1426" s="12"/>
      <c r="H1426" s="12"/>
      <c r="N1426" s="31"/>
      <c r="O1426" s="31"/>
      <c r="P1426" s="30"/>
      <c r="Q1426" s="30"/>
      <c r="R1426" s="30"/>
    </row>
    <row r="1427" spans="6:18" s="1" customFormat="1" x14ac:dyDescent="0.3">
      <c r="F1427" s="12"/>
      <c r="H1427" s="12"/>
      <c r="N1427" s="31"/>
      <c r="O1427" s="31"/>
      <c r="P1427" s="30"/>
      <c r="Q1427" s="30"/>
      <c r="R1427" s="30"/>
    </row>
    <row r="1428" spans="6:18" s="1" customFormat="1" x14ac:dyDescent="0.3">
      <c r="F1428" s="12"/>
      <c r="H1428" s="12"/>
      <c r="N1428" s="31"/>
      <c r="O1428" s="31"/>
      <c r="P1428" s="30"/>
      <c r="Q1428" s="30"/>
      <c r="R1428" s="30"/>
    </row>
    <row r="1429" spans="6:18" s="1" customFormat="1" x14ac:dyDescent="0.3">
      <c r="F1429" s="12"/>
      <c r="H1429" s="12"/>
      <c r="N1429" s="31"/>
      <c r="O1429" s="31"/>
      <c r="P1429" s="30"/>
      <c r="Q1429" s="30"/>
      <c r="R1429" s="30"/>
    </row>
    <row r="1430" spans="6:18" s="1" customFormat="1" x14ac:dyDescent="0.3">
      <c r="F1430" s="12"/>
      <c r="H1430" s="12"/>
      <c r="N1430" s="31"/>
      <c r="O1430" s="31"/>
      <c r="P1430" s="30"/>
      <c r="Q1430" s="30"/>
      <c r="R1430" s="30"/>
    </row>
    <row r="1431" spans="6:18" s="1" customFormat="1" x14ac:dyDescent="0.3">
      <c r="F1431" s="12"/>
      <c r="H1431" s="12"/>
      <c r="N1431" s="31"/>
      <c r="O1431" s="31"/>
      <c r="P1431" s="30"/>
      <c r="Q1431" s="30"/>
      <c r="R1431" s="30"/>
    </row>
    <row r="1432" spans="6:18" s="1" customFormat="1" x14ac:dyDescent="0.3">
      <c r="F1432" s="12"/>
      <c r="H1432" s="12"/>
      <c r="N1432" s="31"/>
      <c r="O1432" s="31"/>
      <c r="P1432" s="30"/>
      <c r="Q1432" s="30"/>
      <c r="R1432" s="30"/>
    </row>
    <row r="1433" spans="6:18" s="1" customFormat="1" x14ac:dyDescent="0.3">
      <c r="F1433" s="12"/>
      <c r="H1433" s="12"/>
      <c r="N1433" s="31"/>
      <c r="O1433" s="31"/>
      <c r="P1433" s="30"/>
      <c r="Q1433" s="30"/>
      <c r="R1433" s="30"/>
    </row>
    <row r="1434" spans="6:18" s="1" customFormat="1" x14ac:dyDescent="0.3">
      <c r="F1434" s="12"/>
      <c r="H1434" s="12"/>
      <c r="N1434" s="31"/>
      <c r="O1434" s="31"/>
      <c r="P1434" s="30"/>
      <c r="Q1434" s="30"/>
      <c r="R1434" s="30"/>
    </row>
    <row r="1435" spans="6:18" s="1" customFormat="1" x14ac:dyDescent="0.3">
      <c r="F1435" s="12"/>
      <c r="H1435" s="12"/>
      <c r="N1435" s="31"/>
      <c r="O1435" s="31"/>
      <c r="P1435" s="30"/>
      <c r="Q1435" s="30"/>
      <c r="R1435" s="30"/>
    </row>
    <row r="1436" spans="6:18" s="1" customFormat="1" x14ac:dyDescent="0.3">
      <c r="F1436" s="12"/>
      <c r="H1436" s="12"/>
      <c r="N1436" s="31"/>
      <c r="O1436" s="31"/>
      <c r="P1436" s="30"/>
      <c r="Q1436" s="30"/>
      <c r="R1436" s="30"/>
    </row>
    <row r="1437" spans="6:18" s="1" customFormat="1" x14ac:dyDescent="0.3">
      <c r="F1437" s="12"/>
      <c r="H1437" s="12"/>
      <c r="N1437" s="31"/>
      <c r="O1437" s="31"/>
      <c r="P1437" s="30"/>
      <c r="Q1437" s="30"/>
      <c r="R1437" s="30"/>
    </row>
    <row r="1438" spans="6:18" s="1" customFormat="1" x14ac:dyDescent="0.3">
      <c r="F1438" s="12"/>
      <c r="H1438" s="12"/>
      <c r="N1438" s="31"/>
      <c r="O1438" s="31"/>
      <c r="P1438" s="30"/>
      <c r="Q1438" s="30"/>
      <c r="R1438" s="30"/>
    </row>
    <row r="1439" spans="6:18" s="1" customFormat="1" x14ac:dyDescent="0.3">
      <c r="F1439" s="12"/>
      <c r="H1439" s="12"/>
      <c r="N1439" s="31"/>
      <c r="O1439" s="31"/>
      <c r="P1439" s="30"/>
      <c r="Q1439" s="30"/>
      <c r="R1439" s="30"/>
    </row>
    <row r="1440" spans="6:18" s="1" customFormat="1" x14ac:dyDescent="0.3">
      <c r="F1440" s="12"/>
      <c r="H1440" s="12"/>
      <c r="N1440" s="31"/>
      <c r="O1440" s="31"/>
      <c r="P1440" s="30"/>
      <c r="Q1440" s="30"/>
      <c r="R1440" s="30"/>
    </row>
    <row r="1441" spans="6:18" s="1" customFormat="1" x14ac:dyDescent="0.3">
      <c r="F1441" s="12"/>
      <c r="H1441" s="12"/>
      <c r="N1441" s="31"/>
      <c r="O1441" s="31"/>
      <c r="P1441" s="30"/>
      <c r="Q1441" s="30"/>
      <c r="R1441" s="30"/>
    </row>
    <row r="1442" spans="6:18" s="1" customFormat="1" x14ac:dyDescent="0.3">
      <c r="F1442" s="12"/>
      <c r="H1442" s="12"/>
      <c r="N1442" s="31"/>
      <c r="O1442" s="31"/>
      <c r="P1442" s="30"/>
      <c r="Q1442" s="30"/>
      <c r="R1442" s="30"/>
    </row>
    <row r="1443" spans="6:18" s="1" customFormat="1" x14ac:dyDescent="0.3">
      <c r="F1443" s="12"/>
      <c r="H1443" s="12"/>
      <c r="N1443" s="31"/>
      <c r="O1443" s="31"/>
      <c r="P1443" s="30"/>
      <c r="Q1443" s="30"/>
      <c r="R1443" s="30"/>
    </row>
    <row r="1444" spans="6:18" s="1" customFormat="1" x14ac:dyDescent="0.3">
      <c r="F1444" s="12"/>
      <c r="H1444" s="12"/>
      <c r="N1444" s="31"/>
      <c r="O1444" s="31"/>
      <c r="P1444" s="30"/>
      <c r="Q1444" s="30"/>
      <c r="R1444" s="30"/>
    </row>
    <row r="1445" spans="6:18" s="1" customFormat="1" x14ac:dyDescent="0.3">
      <c r="F1445" s="12"/>
      <c r="H1445" s="12"/>
      <c r="N1445" s="31"/>
      <c r="O1445" s="31"/>
      <c r="P1445" s="30"/>
      <c r="Q1445" s="30"/>
      <c r="R1445" s="30"/>
    </row>
    <row r="1446" spans="6:18" s="1" customFormat="1" x14ac:dyDescent="0.3">
      <c r="F1446" s="12"/>
      <c r="H1446" s="12"/>
      <c r="N1446" s="31"/>
      <c r="O1446" s="31"/>
      <c r="P1446" s="30"/>
      <c r="Q1446" s="30"/>
      <c r="R1446" s="30"/>
    </row>
    <row r="1447" spans="6:18" s="1" customFormat="1" x14ac:dyDescent="0.3">
      <c r="F1447" s="12"/>
      <c r="H1447" s="12"/>
      <c r="N1447" s="31"/>
      <c r="O1447" s="31"/>
      <c r="P1447" s="30"/>
      <c r="Q1447" s="30"/>
      <c r="R1447" s="30"/>
    </row>
    <row r="1448" spans="6:18" s="1" customFormat="1" x14ac:dyDescent="0.3">
      <c r="F1448" s="12"/>
      <c r="H1448" s="12"/>
      <c r="N1448" s="31"/>
      <c r="O1448" s="31"/>
      <c r="P1448" s="30"/>
      <c r="Q1448" s="30"/>
      <c r="R1448" s="30"/>
    </row>
    <row r="1449" spans="6:18" s="1" customFormat="1" x14ac:dyDescent="0.3">
      <c r="F1449" s="12"/>
      <c r="H1449" s="12"/>
      <c r="N1449" s="31"/>
      <c r="O1449" s="31"/>
      <c r="P1449" s="30"/>
      <c r="Q1449" s="30"/>
      <c r="R1449" s="30"/>
    </row>
    <row r="1450" spans="6:18" s="1" customFormat="1" x14ac:dyDescent="0.3">
      <c r="F1450" s="12"/>
      <c r="H1450" s="12"/>
      <c r="N1450" s="31"/>
      <c r="O1450" s="31"/>
      <c r="P1450" s="30"/>
      <c r="Q1450" s="30"/>
      <c r="R1450" s="30"/>
    </row>
    <row r="1451" spans="6:18" s="1" customFormat="1" x14ac:dyDescent="0.3">
      <c r="F1451" s="12"/>
      <c r="H1451" s="12"/>
      <c r="N1451" s="31"/>
      <c r="O1451" s="31"/>
      <c r="P1451" s="30"/>
      <c r="Q1451" s="30"/>
      <c r="R1451" s="30"/>
    </row>
    <row r="1452" spans="6:18" s="1" customFormat="1" x14ac:dyDescent="0.3">
      <c r="F1452" s="12"/>
      <c r="H1452" s="12"/>
      <c r="N1452" s="31"/>
      <c r="O1452" s="31"/>
      <c r="P1452" s="30"/>
      <c r="Q1452" s="30"/>
      <c r="R1452" s="30"/>
    </row>
    <row r="1453" spans="6:18" s="1" customFormat="1" x14ac:dyDescent="0.3">
      <c r="F1453" s="12"/>
      <c r="H1453" s="12"/>
      <c r="N1453" s="31"/>
      <c r="O1453" s="31"/>
      <c r="P1453" s="30"/>
      <c r="Q1453" s="30"/>
      <c r="R1453" s="30"/>
    </row>
    <row r="1454" spans="6:18" s="1" customFormat="1" x14ac:dyDescent="0.3">
      <c r="F1454" s="12"/>
      <c r="H1454" s="12"/>
      <c r="N1454" s="31"/>
      <c r="O1454" s="31"/>
      <c r="P1454" s="30"/>
      <c r="Q1454" s="30"/>
      <c r="R1454" s="30"/>
    </row>
    <row r="1455" spans="6:18" s="1" customFormat="1" x14ac:dyDescent="0.3">
      <c r="F1455" s="12"/>
      <c r="H1455" s="12"/>
      <c r="N1455" s="31"/>
      <c r="O1455" s="31"/>
      <c r="P1455" s="30"/>
      <c r="Q1455" s="30"/>
      <c r="R1455" s="30"/>
    </row>
    <row r="1456" spans="6:18" s="1" customFormat="1" x14ac:dyDescent="0.3">
      <c r="F1456" s="12"/>
      <c r="H1456" s="12"/>
      <c r="N1456" s="31"/>
      <c r="O1456" s="31"/>
      <c r="P1456" s="30"/>
      <c r="Q1456" s="30"/>
      <c r="R1456" s="30"/>
    </row>
    <row r="1457" spans="6:18" s="1" customFormat="1" x14ac:dyDescent="0.3">
      <c r="F1457" s="12"/>
      <c r="H1457" s="12"/>
      <c r="N1457" s="31"/>
      <c r="O1457" s="31"/>
      <c r="P1457" s="30"/>
      <c r="Q1457" s="30"/>
      <c r="R1457" s="30"/>
    </row>
    <row r="1458" spans="6:18" s="1" customFormat="1" x14ac:dyDescent="0.3">
      <c r="F1458" s="12"/>
      <c r="H1458" s="12"/>
      <c r="N1458" s="31"/>
      <c r="O1458" s="31"/>
      <c r="P1458" s="30"/>
      <c r="Q1458" s="30"/>
      <c r="R1458" s="30"/>
    </row>
    <row r="1459" spans="6:18" s="1" customFormat="1" x14ac:dyDescent="0.3">
      <c r="F1459" s="12"/>
      <c r="H1459" s="12"/>
      <c r="N1459" s="31"/>
      <c r="O1459" s="31"/>
      <c r="P1459" s="30"/>
      <c r="Q1459" s="30"/>
      <c r="R1459" s="30"/>
    </row>
    <row r="1460" spans="6:18" s="1" customFormat="1" x14ac:dyDescent="0.3">
      <c r="F1460" s="12"/>
      <c r="H1460" s="12"/>
      <c r="N1460" s="31"/>
      <c r="O1460" s="31"/>
      <c r="P1460" s="30"/>
      <c r="Q1460" s="30"/>
      <c r="R1460" s="30"/>
    </row>
    <row r="1461" spans="6:18" s="1" customFormat="1" x14ac:dyDescent="0.3">
      <c r="F1461" s="12"/>
      <c r="H1461" s="12"/>
      <c r="N1461" s="31"/>
      <c r="O1461" s="31"/>
      <c r="P1461" s="30"/>
      <c r="Q1461" s="30"/>
      <c r="R1461" s="30"/>
    </row>
    <row r="1462" spans="6:18" s="1" customFormat="1" x14ac:dyDescent="0.3">
      <c r="F1462" s="12"/>
      <c r="H1462" s="12"/>
      <c r="N1462" s="31"/>
      <c r="O1462" s="31"/>
      <c r="P1462" s="30"/>
      <c r="Q1462" s="30"/>
      <c r="R1462" s="30"/>
    </row>
    <row r="1463" spans="6:18" s="1" customFormat="1" x14ac:dyDescent="0.3">
      <c r="F1463" s="12"/>
      <c r="H1463" s="12"/>
      <c r="N1463" s="31"/>
      <c r="O1463" s="31"/>
      <c r="P1463" s="30"/>
      <c r="Q1463" s="30"/>
      <c r="R1463" s="30"/>
    </row>
    <row r="1464" spans="6:18" s="1" customFormat="1" x14ac:dyDescent="0.3">
      <c r="F1464" s="12"/>
      <c r="H1464" s="12"/>
      <c r="N1464" s="31"/>
      <c r="O1464" s="31"/>
      <c r="P1464" s="30"/>
      <c r="Q1464" s="30"/>
      <c r="R1464" s="30"/>
    </row>
    <row r="1465" spans="6:18" s="1" customFormat="1" x14ac:dyDescent="0.3">
      <c r="F1465" s="12"/>
      <c r="H1465" s="12"/>
      <c r="N1465" s="31"/>
      <c r="O1465" s="31"/>
      <c r="P1465" s="30"/>
      <c r="Q1465" s="30"/>
      <c r="R1465" s="30"/>
    </row>
    <row r="1466" spans="6:18" s="1" customFormat="1" x14ac:dyDescent="0.3">
      <c r="F1466" s="12"/>
      <c r="H1466" s="12"/>
      <c r="N1466" s="31"/>
      <c r="O1466" s="31"/>
      <c r="P1466" s="30"/>
      <c r="Q1466" s="30"/>
      <c r="R1466" s="30"/>
    </row>
    <row r="1467" spans="6:18" s="1" customFormat="1" x14ac:dyDescent="0.3">
      <c r="F1467" s="12"/>
      <c r="H1467" s="12"/>
      <c r="N1467" s="31"/>
      <c r="O1467" s="31"/>
      <c r="P1467" s="30"/>
      <c r="Q1467" s="30"/>
      <c r="R1467" s="30"/>
    </row>
    <row r="1468" spans="6:18" s="1" customFormat="1" x14ac:dyDescent="0.3">
      <c r="F1468" s="12"/>
      <c r="H1468" s="12"/>
      <c r="N1468" s="31"/>
      <c r="O1468" s="31"/>
      <c r="P1468" s="30"/>
      <c r="Q1468" s="30"/>
      <c r="R1468" s="30"/>
    </row>
    <row r="1469" spans="6:18" s="1" customFormat="1" x14ac:dyDescent="0.3">
      <c r="F1469" s="12"/>
      <c r="H1469" s="12"/>
      <c r="N1469" s="31"/>
      <c r="O1469" s="31"/>
      <c r="P1469" s="30"/>
      <c r="Q1469" s="30"/>
      <c r="R1469" s="30"/>
    </row>
    <row r="1470" spans="6:18" s="1" customFormat="1" x14ac:dyDescent="0.3">
      <c r="F1470" s="12"/>
      <c r="H1470" s="12"/>
      <c r="N1470" s="31"/>
      <c r="O1470" s="31"/>
      <c r="P1470" s="30"/>
      <c r="Q1470" s="30"/>
      <c r="R1470" s="30"/>
    </row>
    <row r="1471" spans="6:18" s="1" customFormat="1" x14ac:dyDescent="0.3">
      <c r="F1471" s="12"/>
      <c r="H1471" s="12"/>
      <c r="N1471" s="31"/>
      <c r="O1471" s="31"/>
      <c r="P1471" s="30"/>
      <c r="Q1471" s="30"/>
      <c r="R1471" s="30"/>
    </row>
    <row r="1472" spans="6:18" s="1" customFormat="1" x14ac:dyDescent="0.3">
      <c r="F1472" s="12"/>
      <c r="H1472" s="12"/>
      <c r="N1472" s="31"/>
      <c r="O1472" s="31"/>
      <c r="P1472" s="30"/>
      <c r="Q1472" s="30"/>
      <c r="R1472" s="30"/>
    </row>
    <row r="1473" spans="6:18" s="1" customFormat="1" x14ac:dyDescent="0.3">
      <c r="F1473" s="12"/>
      <c r="H1473" s="12"/>
      <c r="N1473" s="31"/>
      <c r="O1473" s="31"/>
      <c r="P1473" s="30"/>
      <c r="Q1473" s="30"/>
      <c r="R1473" s="30"/>
    </row>
    <row r="1474" spans="6:18" s="1" customFormat="1" x14ac:dyDescent="0.3">
      <c r="F1474" s="12"/>
      <c r="H1474" s="12"/>
      <c r="N1474" s="31"/>
      <c r="O1474" s="31"/>
      <c r="P1474" s="30"/>
      <c r="Q1474" s="30"/>
      <c r="R1474" s="30"/>
    </row>
    <row r="1475" spans="6:18" s="1" customFormat="1" x14ac:dyDescent="0.3">
      <c r="F1475" s="12"/>
      <c r="H1475" s="12"/>
      <c r="N1475" s="31"/>
      <c r="O1475" s="31"/>
      <c r="P1475" s="30"/>
      <c r="Q1475" s="30"/>
      <c r="R1475" s="30"/>
    </row>
    <row r="1476" spans="6:18" s="1" customFormat="1" x14ac:dyDescent="0.3">
      <c r="F1476" s="12"/>
      <c r="H1476" s="12"/>
      <c r="N1476" s="31"/>
      <c r="O1476" s="31"/>
      <c r="P1476" s="30"/>
      <c r="Q1476" s="30"/>
      <c r="R1476" s="30"/>
    </row>
    <row r="1477" spans="6:18" s="1" customFormat="1" x14ac:dyDescent="0.3">
      <c r="F1477" s="12"/>
      <c r="H1477" s="12"/>
      <c r="N1477" s="31"/>
      <c r="O1477" s="31"/>
      <c r="P1477" s="30"/>
      <c r="Q1477" s="30"/>
      <c r="R1477" s="30"/>
    </row>
    <row r="1478" spans="6:18" s="1" customFormat="1" x14ac:dyDescent="0.3">
      <c r="F1478" s="12"/>
      <c r="H1478" s="12"/>
      <c r="N1478" s="31"/>
      <c r="O1478" s="31"/>
      <c r="P1478" s="30"/>
      <c r="Q1478" s="30"/>
      <c r="R1478" s="30"/>
    </row>
    <row r="1479" spans="6:18" s="1" customFormat="1" x14ac:dyDescent="0.3">
      <c r="F1479" s="12"/>
      <c r="H1479" s="12"/>
      <c r="N1479" s="31"/>
      <c r="O1479" s="31"/>
      <c r="P1479" s="30"/>
      <c r="Q1479" s="30"/>
      <c r="R1479" s="30"/>
    </row>
    <row r="1480" spans="6:18" s="1" customFormat="1" x14ac:dyDescent="0.3">
      <c r="F1480" s="12"/>
      <c r="H1480" s="12"/>
      <c r="N1480" s="31"/>
      <c r="O1480" s="31"/>
      <c r="P1480" s="30"/>
      <c r="Q1480" s="30"/>
      <c r="R1480" s="30"/>
    </row>
    <row r="1481" spans="6:18" s="1" customFormat="1" x14ac:dyDescent="0.3">
      <c r="F1481" s="12"/>
      <c r="H1481" s="12"/>
      <c r="N1481" s="31"/>
      <c r="O1481" s="31"/>
      <c r="P1481" s="30"/>
      <c r="Q1481" s="30"/>
      <c r="R1481" s="30"/>
    </row>
    <row r="1482" spans="6:18" s="1" customFormat="1" x14ac:dyDescent="0.3">
      <c r="F1482" s="12"/>
      <c r="H1482" s="12"/>
      <c r="N1482" s="31"/>
      <c r="O1482" s="31"/>
      <c r="P1482" s="30"/>
      <c r="Q1482" s="30"/>
      <c r="R1482" s="30"/>
    </row>
    <row r="1483" spans="6:18" s="1" customFormat="1" x14ac:dyDescent="0.3">
      <c r="F1483" s="12"/>
      <c r="H1483" s="12"/>
      <c r="N1483" s="31"/>
      <c r="O1483" s="31"/>
      <c r="P1483" s="30"/>
      <c r="Q1483" s="30"/>
      <c r="R1483" s="30"/>
    </row>
    <row r="1484" spans="6:18" s="1" customFormat="1" x14ac:dyDescent="0.3">
      <c r="F1484" s="12"/>
      <c r="H1484" s="12"/>
      <c r="N1484" s="31"/>
      <c r="O1484" s="31"/>
      <c r="P1484" s="30"/>
      <c r="Q1484" s="30"/>
      <c r="R1484" s="30"/>
    </row>
    <row r="1485" spans="6:18" s="1" customFormat="1" x14ac:dyDescent="0.3">
      <c r="F1485" s="12"/>
      <c r="H1485" s="12"/>
      <c r="N1485" s="31"/>
      <c r="O1485" s="31"/>
      <c r="P1485" s="30"/>
      <c r="Q1485" s="30"/>
      <c r="R1485" s="30"/>
    </row>
    <row r="1486" spans="6:18" s="1" customFormat="1" x14ac:dyDescent="0.3">
      <c r="F1486" s="12"/>
      <c r="H1486" s="12"/>
      <c r="N1486" s="31"/>
      <c r="O1486" s="31"/>
      <c r="P1486" s="30"/>
      <c r="Q1486" s="30"/>
      <c r="R1486" s="30"/>
    </row>
    <row r="1487" spans="6:18" s="1" customFormat="1" x14ac:dyDescent="0.3">
      <c r="F1487" s="12"/>
      <c r="H1487" s="12"/>
      <c r="N1487" s="31"/>
      <c r="O1487" s="31"/>
      <c r="P1487" s="30"/>
      <c r="Q1487" s="30"/>
      <c r="R1487" s="30"/>
    </row>
    <row r="1488" spans="6:18" s="1" customFormat="1" x14ac:dyDescent="0.3">
      <c r="F1488" s="12"/>
      <c r="H1488" s="12"/>
      <c r="N1488" s="31"/>
      <c r="O1488" s="31"/>
      <c r="P1488" s="30"/>
      <c r="Q1488" s="30"/>
      <c r="R1488" s="30"/>
    </row>
    <row r="1489" spans="6:18" s="1" customFormat="1" x14ac:dyDescent="0.3">
      <c r="F1489" s="12"/>
      <c r="H1489" s="12"/>
      <c r="N1489" s="31"/>
      <c r="O1489" s="31"/>
      <c r="P1489" s="30"/>
      <c r="Q1489" s="30"/>
      <c r="R1489" s="30"/>
    </row>
    <row r="1490" spans="6:18" s="1" customFormat="1" x14ac:dyDescent="0.3">
      <c r="F1490" s="12"/>
      <c r="H1490" s="12"/>
      <c r="N1490" s="31"/>
      <c r="O1490" s="31"/>
      <c r="P1490" s="30"/>
      <c r="Q1490" s="30"/>
      <c r="R1490" s="30"/>
    </row>
    <row r="1491" spans="6:18" s="1" customFormat="1" x14ac:dyDescent="0.3">
      <c r="F1491" s="12"/>
      <c r="H1491" s="12"/>
      <c r="N1491" s="31"/>
      <c r="O1491" s="31"/>
      <c r="P1491" s="30"/>
      <c r="Q1491" s="30"/>
      <c r="R1491" s="30"/>
    </row>
    <row r="1492" spans="6:18" s="1" customFormat="1" x14ac:dyDescent="0.3">
      <c r="F1492" s="12"/>
      <c r="H1492" s="12"/>
      <c r="N1492" s="31"/>
      <c r="O1492" s="31"/>
      <c r="P1492" s="30"/>
      <c r="Q1492" s="30"/>
      <c r="R1492" s="30"/>
    </row>
    <row r="1493" spans="6:18" s="1" customFormat="1" x14ac:dyDescent="0.3">
      <c r="F1493" s="12"/>
      <c r="H1493" s="12"/>
      <c r="N1493" s="31"/>
      <c r="O1493" s="31"/>
      <c r="P1493" s="30"/>
      <c r="Q1493" s="30"/>
      <c r="R1493" s="30"/>
    </row>
    <row r="1494" spans="6:18" s="1" customFormat="1" x14ac:dyDescent="0.3">
      <c r="F1494" s="12"/>
      <c r="H1494" s="12"/>
      <c r="N1494" s="31"/>
      <c r="O1494" s="31"/>
      <c r="P1494" s="30"/>
      <c r="Q1494" s="30"/>
      <c r="R1494" s="30"/>
    </row>
    <row r="1495" spans="6:18" s="1" customFormat="1" x14ac:dyDescent="0.3">
      <c r="F1495" s="12"/>
      <c r="H1495" s="12"/>
      <c r="N1495" s="31"/>
      <c r="O1495" s="31"/>
      <c r="P1495" s="30"/>
      <c r="Q1495" s="30"/>
      <c r="R1495" s="30"/>
    </row>
    <row r="1496" spans="6:18" s="1" customFormat="1" x14ac:dyDescent="0.3">
      <c r="F1496" s="12"/>
      <c r="H1496" s="12"/>
      <c r="N1496" s="31"/>
      <c r="O1496" s="31"/>
      <c r="P1496" s="30"/>
      <c r="Q1496" s="30"/>
      <c r="R1496" s="30"/>
    </row>
    <row r="1497" spans="6:18" s="1" customFormat="1" x14ac:dyDescent="0.3">
      <c r="F1497" s="12"/>
      <c r="H1497" s="12"/>
      <c r="N1497" s="31"/>
      <c r="O1497" s="31"/>
      <c r="P1497" s="30"/>
      <c r="Q1497" s="30"/>
      <c r="R1497" s="30"/>
    </row>
    <row r="1498" spans="6:18" s="1" customFormat="1" x14ac:dyDescent="0.3">
      <c r="F1498" s="12"/>
      <c r="H1498" s="12"/>
      <c r="N1498" s="31"/>
      <c r="O1498" s="31"/>
      <c r="P1498" s="30"/>
      <c r="Q1498" s="30"/>
      <c r="R1498" s="30"/>
    </row>
    <row r="1499" spans="6:18" s="1" customFormat="1" x14ac:dyDescent="0.3">
      <c r="F1499" s="12"/>
      <c r="H1499" s="12"/>
      <c r="N1499" s="31"/>
      <c r="O1499" s="31"/>
      <c r="P1499" s="30"/>
      <c r="Q1499" s="30"/>
      <c r="R1499" s="30"/>
    </row>
    <row r="1500" spans="6:18" s="1" customFormat="1" x14ac:dyDescent="0.3">
      <c r="F1500" s="12"/>
      <c r="H1500" s="12"/>
      <c r="N1500" s="31"/>
      <c r="O1500" s="31"/>
      <c r="P1500" s="30"/>
      <c r="Q1500" s="30"/>
      <c r="R1500" s="30"/>
    </row>
    <row r="1501" spans="6:18" s="1" customFormat="1" x14ac:dyDescent="0.3">
      <c r="F1501" s="12"/>
      <c r="H1501" s="12"/>
      <c r="N1501" s="31"/>
      <c r="O1501" s="31"/>
      <c r="P1501" s="30"/>
      <c r="Q1501" s="30"/>
      <c r="R1501" s="30"/>
    </row>
    <row r="1502" spans="6:18" s="1" customFormat="1" x14ac:dyDescent="0.3">
      <c r="F1502" s="12"/>
      <c r="H1502" s="12"/>
      <c r="N1502" s="31"/>
      <c r="O1502" s="31"/>
      <c r="P1502" s="30"/>
      <c r="Q1502" s="30"/>
      <c r="R1502" s="30"/>
    </row>
    <row r="1503" spans="6:18" s="1" customFormat="1" x14ac:dyDescent="0.3">
      <c r="F1503" s="12"/>
      <c r="H1503" s="12"/>
      <c r="N1503" s="31"/>
      <c r="O1503" s="31"/>
      <c r="P1503" s="30"/>
      <c r="Q1503" s="30"/>
      <c r="R1503" s="30"/>
    </row>
    <row r="1504" spans="6:18" s="1" customFormat="1" x14ac:dyDescent="0.3">
      <c r="F1504" s="12"/>
      <c r="H1504" s="12"/>
      <c r="N1504" s="31"/>
      <c r="O1504" s="31"/>
      <c r="P1504" s="30"/>
      <c r="Q1504" s="30"/>
      <c r="R1504" s="30"/>
    </row>
    <row r="1505" spans="6:18" s="1" customFormat="1" x14ac:dyDescent="0.3">
      <c r="F1505" s="12"/>
      <c r="H1505" s="12"/>
      <c r="N1505" s="31"/>
      <c r="O1505" s="31"/>
      <c r="P1505" s="30"/>
      <c r="Q1505" s="30"/>
      <c r="R1505" s="30"/>
    </row>
    <row r="1506" spans="6:18" s="1" customFormat="1" x14ac:dyDescent="0.3">
      <c r="F1506" s="12"/>
      <c r="H1506" s="12"/>
      <c r="N1506" s="31"/>
      <c r="O1506" s="31"/>
      <c r="P1506" s="30"/>
      <c r="Q1506" s="30"/>
      <c r="R1506" s="30"/>
    </row>
    <row r="1507" spans="6:18" s="1" customFormat="1" x14ac:dyDescent="0.3">
      <c r="F1507" s="12"/>
      <c r="H1507" s="12"/>
      <c r="N1507" s="31"/>
      <c r="O1507" s="31"/>
      <c r="P1507" s="30"/>
      <c r="Q1507" s="30"/>
      <c r="R1507" s="30"/>
    </row>
    <row r="1508" spans="6:18" s="1" customFormat="1" x14ac:dyDescent="0.3">
      <c r="F1508" s="12"/>
      <c r="H1508" s="12"/>
      <c r="N1508" s="31"/>
      <c r="O1508" s="31"/>
      <c r="P1508" s="30"/>
      <c r="Q1508" s="30"/>
      <c r="R1508" s="30"/>
    </row>
    <row r="1509" spans="6:18" s="1" customFormat="1" x14ac:dyDescent="0.3">
      <c r="F1509" s="12"/>
      <c r="H1509" s="12"/>
      <c r="N1509" s="31"/>
      <c r="O1509" s="31"/>
      <c r="P1509" s="30"/>
      <c r="Q1509" s="30"/>
      <c r="R1509" s="30"/>
    </row>
    <row r="1510" spans="6:18" s="1" customFormat="1" x14ac:dyDescent="0.3">
      <c r="F1510" s="12"/>
      <c r="H1510" s="12"/>
      <c r="N1510" s="31"/>
      <c r="O1510" s="31"/>
      <c r="P1510" s="30"/>
      <c r="Q1510" s="30"/>
      <c r="R1510" s="30"/>
    </row>
    <row r="1511" spans="6:18" s="1" customFormat="1" x14ac:dyDescent="0.3">
      <c r="F1511" s="12"/>
      <c r="H1511" s="12"/>
      <c r="N1511" s="31"/>
      <c r="O1511" s="31"/>
      <c r="P1511" s="30"/>
      <c r="Q1511" s="30"/>
      <c r="R1511" s="30"/>
    </row>
    <row r="1512" spans="6:18" s="1" customFormat="1" x14ac:dyDescent="0.3">
      <c r="F1512" s="12"/>
      <c r="H1512" s="12"/>
      <c r="N1512" s="31"/>
      <c r="O1512" s="31"/>
      <c r="P1512" s="30"/>
      <c r="Q1512" s="30"/>
      <c r="R1512" s="30"/>
    </row>
    <row r="1513" spans="6:18" s="1" customFormat="1" x14ac:dyDescent="0.3">
      <c r="F1513" s="12"/>
      <c r="H1513" s="12"/>
      <c r="N1513" s="31"/>
      <c r="O1513" s="31"/>
      <c r="P1513" s="30"/>
      <c r="Q1513" s="30"/>
      <c r="R1513" s="30"/>
    </row>
    <row r="1514" spans="6:18" s="1" customFormat="1" x14ac:dyDescent="0.3">
      <c r="F1514" s="12"/>
      <c r="H1514" s="12"/>
      <c r="N1514" s="31"/>
      <c r="O1514" s="31"/>
      <c r="P1514" s="30"/>
      <c r="Q1514" s="30"/>
      <c r="R1514" s="30"/>
    </row>
    <row r="1515" spans="6:18" s="1" customFormat="1" x14ac:dyDescent="0.3">
      <c r="F1515" s="12"/>
      <c r="H1515" s="12"/>
      <c r="N1515" s="31"/>
      <c r="O1515" s="31"/>
      <c r="P1515" s="30"/>
      <c r="Q1515" s="30"/>
      <c r="R1515" s="30"/>
    </row>
    <row r="1516" spans="6:18" s="1" customFormat="1" x14ac:dyDescent="0.3">
      <c r="F1516" s="12"/>
      <c r="H1516" s="12"/>
      <c r="N1516" s="31"/>
      <c r="O1516" s="31"/>
      <c r="P1516" s="30"/>
      <c r="Q1516" s="30"/>
      <c r="R1516" s="30"/>
    </row>
    <row r="1517" spans="6:18" s="1" customFormat="1" x14ac:dyDescent="0.3">
      <c r="F1517" s="12"/>
      <c r="H1517" s="12"/>
      <c r="N1517" s="31"/>
      <c r="O1517" s="31"/>
      <c r="P1517" s="30"/>
      <c r="Q1517" s="30"/>
      <c r="R1517" s="30"/>
    </row>
    <row r="1518" spans="6:18" s="1" customFormat="1" x14ac:dyDescent="0.3">
      <c r="F1518" s="12"/>
      <c r="H1518" s="12"/>
      <c r="N1518" s="31"/>
      <c r="O1518" s="31"/>
      <c r="P1518" s="30"/>
      <c r="Q1518" s="30"/>
      <c r="R1518" s="30"/>
    </row>
    <row r="1519" spans="6:18" s="1" customFormat="1" x14ac:dyDescent="0.3">
      <c r="F1519" s="12"/>
      <c r="H1519" s="12"/>
      <c r="N1519" s="31"/>
      <c r="O1519" s="31"/>
      <c r="P1519" s="30"/>
      <c r="Q1519" s="30"/>
      <c r="R1519" s="30"/>
    </row>
    <row r="1520" spans="6:18" s="1" customFormat="1" x14ac:dyDescent="0.3">
      <c r="F1520" s="12"/>
      <c r="H1520" s="12"/>
      <c r="N1520" s="31"/>
      <c r="O1520" s="31"/>
      <c r="P1520" s="30"/>
      <c r="Q1520" s="30"/>
      <c r="R1520" s="30"/>
    </row>
    <row r="1521" spans="6:18" s="1" customFormat="1" x14ac:dyDescent="0.3">
      <c r="F1521" s="12"/>
      <c r="H1521" s="12"/>
      <c r="N1521" s="31"/>
      <c r="O1521" s="31"/>
      <c r="P1521" s="30"/>
      <c r="Q1521" s="30"/>
      <c r="R1521" s="30"/>
    </row>
    <row r="1522" spans="6:18" s="1" customFormat="1" x14ac:dyDescent="0.3">
      <c r="F1522" s="12"/>
      <c r="H1522" s="12"/>
      <c r="N1522" s="31"/>
      <c r="O1522" s="31"/>
      <c r="P1522" s="30"/>
      <c r="Q1522" s="30"/>
      <c r="R1522" s="30"/>
    </row>
    <row r="1523" spans="6:18" s="1" customFormat="1" x14ac:dyDescent="0.3">
      <c r="F1523" s="12"/>
      <c r="H1523" s="12"/>
      <c r="N1523" s="31"/>
      <c r="O1523" s="31"/>
      <c r="P1523" s="30"/>
      <c r="Q1523" s="30"/>
      <c r="R1523" s="30"/>
    </row>
    <row r="1524" spans="6:18" s="1" customFormat="1" x14ac:dyDescent="0.3">
      <c r="F1524" s="12"/>
      <c r="H1524" s="12"/>
      <c r="N1524" s="31"/>
      <c r="O1524" s="31"/>
      <c r="P1524" s="30"/>
      <c r="Q1524" s="30"/>
      <c r="R1524" s="30"/>
    </row>
    <row r="1525" spans="6:18" s="1" customFormat="1" x14ac:dyDescent="0.3">
      <c r="F1525" s="12"/>
      <c r="H1525" s="12"/>
      <c r="N1525" s="31"/>
      <c r="O1525" s="31"/>
      <c r="P1525" s="30"/>
      <c r="Q1525" s="30"/>
      <c r="R1525" s="30"/>
    </row>
    <row r="1526" spans="6:18" s="1" customFormat="1" x14ac:dyDescent="0.3">
      <c r="F1526" s="12"/>
      <c r="H1526" s="12"/>
      <c r="N1526" s="31"/>
      <c r="O1526" s="31"/>
      <c r="P1526" s="30"/>
      <c r="Q1526" s="30"/>
      <c r="R1526" s="30"/>
    </row>
    <row r="1527" spans="6:18" s="1" customFormat="1" x14ac:dyDescent="0.3">
      <c r="F1527" s="12"/>
      <c r="H1527" s="12"/>
      <c r="N1527" s="31"/>
      <c r="O1527" s="31"/>
      <c r="P1527" s="30"/>
      <c r="Q1527" s="30"/>
      <c r="R1527" s="30"/>
    </row>
    <row r="1528" spans="6:18" s="1" customFormat="1" x14ac:dyDescent="0.3">
      <c r="F1528" s="12"/>
      <c r="H1528" s="12"/>
      <c r="N1528" s="31"/>
      <c r="O1528" s="31"/>
      <c r="P1528" s="30"/>
      <c r="Q1528" s="30"/>
      <c r="R1528" s="30"/>
    </row>
    <row r="1529" spans="6:18" s="1" customFormat="1" x14ac:dyDescent="0.3">
      <c r="F1529" s="12"/>
      <c r="H1529" s="12"/>
      <c r="N1529" s="31"/>
      <c r="O1529" s="31"/>
      <c r="P1529" s="30"/>
      <c r="Q1529" s="30"/>
      <c r="R1529" s="30"/>
    </row>
    <row r="1530" spans="6:18" s="1" customFormat="1" x14ac:dyDescent="0.3">
      <c r="F1530" s="12"/>
      <c r="H1530" s="12"/>
      <c r="N1530" s="31"/>
      <c r="O1530" s="31"/>
      <c r="P1530" s="30"/>
      <c r="Q1530" s="30"/>
      <c r="R1530" s="30"/>
    </row>
    <row r="1531" spans="6:18" s="1" customFormat="1" x14ac:dyDescent="0.3">
      <c r="F1531" s="12"/>
      <c r="H1531" s="12"/>
      <c r="N1531" s="31"/>
      <c r="O1531" s="31"/>
      <c r="P1531" s="30"/>
      <c r="Q1531" s="30"/>
      <c r="R1531" s="30"/>
    </row>
    <row r="1532" spans="6:18" s="1" customFormat="1" x14ac:dyDescent="0.3">
      <c r="F1532" s="12"/>
      <c r="H1532" s="12"/>
      <c r="N1532" s="31"/>
      <c r="O1532" s="31"/>
      <c r="P1532" s="30"/>
      <c r="Q1532" s="30"/>
      <c r="R1532" s="30"/>
    </row>
    <row r="1533" spans="6:18" s="1" customFormat="1" x14ac:dyDescent="0.3">
      <c r="F1533" s="12"/>
      <c r="H1533" s="12"/>
      <c r="N1533" s="31"/>
      <c r="O1533" s="31"/>
      <c r="P1533" s="30"/>
      <c r="Q1533" s="30"/>
      <c r="R1533" s="30"/>
    </row>
    <row r="1534" spans="6:18" s="1" customFormat="1" x14ac:dyDescent="0.3">
      <c r="F1534" s="12"/>
      <c r="H1534" s="12"/>
      <c r="N1534" s="31"/>
      <c r="O1534" s="31"/>
      <c r="P1534" s="30"/>
      <c r="Q1534" s="30"/>
      <c r="R1534" s="30"/>
    </row>
    <row r="1535" spans="6:18" s="1" customFormat="1" x14ac:dyDescent="0.3">
      <c r="F1535" s="12"/>
      <c r="H1535" s="12"/>
      <c r="N1535" s="31"/>
      <c r="O1535" s="31"/>
      <c r="P1535" s="30"/>
      <c r="Q1535" s="30"/>
      <c r="R1535" s="30"/>
    </row>
    <row r="1536" spans="6:18" s="1" customFormat="1" x14ac:dyDescent="0.3">
      <c r="F1536" s="12"/>
      <c r="H1536" s="12"/>
      <c r="N1536" s="31"/>
      <c r="O1536" s="31"/>
      <c r="P1536" s="30"/>
      <c r="Q1536" s="30"/>
      <c r="R1536" s="30"/>
    </row>
    <row r="1537" spans="6:18" s="1" customFormat="1" x14ac:dyDescent="0.3">
      <c r="F1537" s="12"/>
      <c r="H1537" s="12"/>
      <c r="N1537" s="31"/>
      <c r="O1537" s="31"/>
      <c r="P1537" s="30"/>
      <c r="Q1537" s="30"/>
      <c r="R1537" s="30"/>
    </row>
    <row r="1538" spans="6:18" s="1" customFormat="1" x14ac:dyDescent="0.3">
      <c r="F1538" s="12"/>
      <c r="H1538" s="12"/>
      <c r="N1538" s="31"/>
      <c r="O1538" s="31"/>
      <c r="P1538" s="30"/>
      <c r="Q1538" s="30"/>
      <c r="R1538" s="30"/>
    </row>
    <row r="1539" spans="6:18" s="1" customFormat="1" x14ac:dyDescent="0.3">
      <c r="F1539" s="12"/>
      <c r="H1539" s="12"/>
      <c r="N1539" s="31"/>
      <c r="O1539" s="31"/>
      <c r="P1539" s="30"/>
      <c r="Q1539" s="30"/>
      <c r="R1539" s="30"/>
    </row>
    <row r="1540" spans="6:18" s="1" customFormat="1" x14ac:dyDescent="0.3">
      <c r="F1540" s="12"/>
      <c r="H1540" s="12"/>
      <c r="N1540" s="31"/>
      <c r="O1540" s="31"/>
      <c r="P1540" s="30"/>
      <c r="Q1540" s="30"/>
      <c r="R1540" s="30"/>
    </row>
    <row r="1541" spans="6:18" s="1" customFormat="1" x14ac:dyDescent="0.3">
      <c r="F1541" s="12"/>
      <c r="H1541" s="12"/>
      <c r="N1541" s="31"/>
      <c r="O1541" s="31"/>
      <c r="P1541" s="30"/>
      <c r="Q1541" s="30"/>
      <c r="R1541" s="30"/>
    </row>
    <row r="1542" spans="6:18" s="1" customFormat="1" x14ac:dyDescent="0.3">
      <c r="F1542" s="12"/>
      <c r="H1542" s="12"/>
      <c r="N1542" s="31"/>
      <c r="O1542" s="31"/>
      <c r="P1542" s="30"/>
      <c r="Q1542" s="30"/>
      <c r="R1542" s="30"/>
    </row>
    <row r="1543" spans="6:18" s="1" customFormat="1" x14ac:dyDescent="0.3">
      <c r="F1543" s="12"/>
      <c r="H1543" s="12"/>
      <c r="N1543" s="31"/>
      <c r="O1543" s="31"/>
      <c r="P1543" s="30"/>
      <c r="Q1543" s="30"/>
      <c r="R1543" s="30"/>
    </row>
    <row r="1544" spans="6:18" s="1" customFormat="1" x14ac:dyDescent="0.3">
      <c r="F1544" s="12"/>
      <c r="H1544" s="12"/>
      <c r="N1544" s="31"/>
      <c r="O1544" s="31"/>
      <c r="P1544" s="30"/>
      <c r="Q1544" s="30"/>
      <c r="R1544" s="30"/>
    </row>
    <row r="1545" spans="6:18" s="1" customFormat="1" x14ac:dyDescent="0.3">
      <c r="F1545" s="12"/>
      <c r="H1545" s="12"/>
      <c r="N1545" s="31"/>
      <c r="O1545" s="31"/>
      <c r="P1545" s="30"/>
      <c r="Q1545" s="30"/>
      <c r="R1545" s="30"/>
    </row>
    <row r="1546" spans="6:18" s="1" customFormat="1" x14ac:dyDescent="0.3">
      <c r="F1546" s="12"/>
      <c r="H1546" s="12"/>
      <c r="N1546" s="31"/>
      <c r="O1546" s="31"/>
      <c r="P1546" s="30"/>
      <c r="Q1546" s="30"/>
      <c r="R1546" s="30"/>
    </row>
    <row r="1547" spans="6:18" s="1" customFormat="1" x14ac:dyDescent="0.3">
      <c r="F1547" s="12"/>
      <c r="H1547" s="12"/>
      <c r="N1547" s="31"/>
      <c r="O1547" s="31"/>
      <c r="P1547" s="30"/>
      <c r="Q1547" s="30"/>
      <c r="R1547" s="30"/>
    </row>
    <row r="1548" spans="6:18" s="1" customFormat="1" x14ac:dyDescent="0.3">
      <c r="F1548" s="12"/>
      <c r="H1548" s="12"/>
      <c r="N1548" s="31"/>
      <c r="O1548" s="31"/>
      <c r="P1548" s="30"/>
      <c r="Q1548" s="30"/>
      <c r="R1548" s="30"/>
    </row>
    <row r="1549" spans="6:18" s="1" customFormat="1" x14ac:dyDescent="0.3">
      <c r="F1549" s="12"/>
      <c r="H1549" s="12"/>
      <c r="N1549" s="31"/>
      <c r="O1549" s="31"/>
      <c r="P1549" s="30"/>
      <c r="Q1549" s="30"/>
      <c r="R1549" s="30"/>
    </row>
    <row r="1550" spans="6:18" s="1" customFormat="1" x14ac:dyDescent="0.3">
      <c r="F1550" s="12"/>
      <c r="H1550" s="12"/>
      <c r="N1550" s="31"/>
      <c r="O1550" s="31"/>
      <c r="P1550" s="30"/>
      <c r="Q1550" s="30"/>
      <c r="R1550" s="30"/>
    </row>
    <row r="1551" spans="6:18" s="1" customFormat="1" x14ac:dyDescent="0.3">
      <c r="F1551" s="12"/>
      <c r="H1551" s="12"/>
      <c r="N1551" s="31"/>
      <c r="O1551" s="31"/>
      <c r="P1551" s="30"/>
      <c r="Q1551" s="30"/>
      <c r="R1551" s="30"/>
    </row>
    <row r="1552" spans="6:18" s="1" customFormat="1" x14ac:dyDescent="0.3">
      <c r="F1552" s="12"/>
      <c r="H1552" s="12"/>
      <c r="N1552" s="31"/>
      <c r="O1552" s="31"/>
      <c r="P1552" s="30"/>
      <c r="Q1552" s="30"/>
      <c r="R1552" s="30"/>
    </row>
    <row r="1553" spans="6:18" s="1" customFormat="1" x14ac:dyDescent="0.3">
      <c r="F1553" s="12"/>
      <c r="H1553" s="12"/>
      <c r="N1553" s="31"/>
      <c r="O1553" s="31"/>
      <c r="P1553" s="30"/>
      <c r="Q1553" s="30"/>
      <c r="R1553" s="30"/>
    </row>
    <row r="1554" spans="6:18" s="1" customFormat="1" x14ac:dyDescent="0.3">
      <c r="F1554" s="12"/>
      <c r="H1554" s="12"/>
      <c r="N1554" s="31"/>
      <c r="O1554" s="31"/>
      <c r="P1554" s="30"/>
      <c r="Q1554" s="30"/>
      <c r="R1554" s="30"/>
    </row>
    <row r="1555" spans="6:18" s="1" customFormat="1" x14ac:dyDescent="0.3">
      <c r="F1555" s="12"/>
      <c r="H1555" s="12"/>
      <c r="N1555" s="31"/>
      <c r="O1555" s="31"/>
      <c r="P1555" s="30"/>
      <c r="Q1555" s="30"/>
      <c r="R1555" s="30"/>
    </row>
    <row r="1556" spans="6:18" s="1" customFormat="1" x14ac:dyDescent="0.3">
      <c r="F1556" s="12"/>
      <c r="H1556" s="12"/>
      <c r="N1556" s="31"/>
      <c r="O1556" s="31"/>
      <c r="P1556" s="30"/>
      <c r="Q1556" s="30"/>
      <c r="R1556" s="30"/>
    </row>
    <row r="1557" spans="6:18" s="1" customFormat="1" x14ac:dyDescent="0.3">
      <c r="F1557" s="12"/>
      <c r="H1557" s="12"/>
      <c r="N1557" s="31"/>
      <c r="O1557" s="31"/>
      <c r="P1557" s="30"/>
      <c r="Q1557" s="30"/>
      <c r="R1557" s="30"/>
    </row>
    <row r="1558" spans="6:18" s="1" customFormat="1" x14ac:dyDescent="0.3">
      <c r="F1558" s="12"/>
      <c r="H1558" s="12"/>
      <c r="N1558" s="31"/>
      <c r="O1558" s="31"/>
      <c r="P1558" s="30"/>
      <c r="Q1558" s="30"/>
      <c r="R1558" s="30"/>
    </row>
    <row r="1559" spans="6:18" s="1" customFormat="1" x14ac:dyDescent="0.3">
      <c r="F1559" s="12"/>
      <c r="H1559" s="12"/>
      <c r="N1559" s="31"/>
      <c r="O1559" s="31"/>
      <c r="P1559" s="30"/>
      <c r="Q1559" s="30"/>
      <c r="R1559" s="30"/>
    </row>
    <row r="1560" spans="6:18" s="1" customFormat="1" x14ac:dyDescent="0.3">
      <c r="F1560" s="12"/>
      <c r="H1560" s="12"/>
      <c r="N1560" s="31"/>
      <c r="O1560" s="31"/>
      <c r="P1560" s="30"/>
      <c r="Q1560" s="30"/>
      <c r="R1560" s="30"/>
    </row>
    <row r="1561" spans="6:18" s="1" customFormat="1" x14ac:dyDescent="0.3">
      <c r="F1561" s="12"/>
      <c r="H1561" s="12"/>
      <c r="N1561" s="31"/>
      <c r="O1561" s="31"/>
      <c r="P1561" s="30"/>
      <c r="Q1561" s="30"/>
      <c r="R1561" s="30"/>
    </row>
    <row r="1562" spans="6:18" s="1" customFormat="1" x14ac:dyDescent="0.3">
      <c r="F1562" s="12"/>
      <c r="H1562" s="12"/>
      <c r="N1562" s="31"/>
      <c r="O1562" s="31"/>
      <c r="P1562" s="30"/>
      <c r="Q1562" s="30"/>
      <c r="R1562" s="30"/>
    </row>
    <row r="1563" spans="6:18" s="1" customFormat="1" x14ac:dyDescent="0.3">
      <c r="F1563" s="12"/>
      <c r="H1563" s="12"/>
      <c r="N1563" s="31"/>
      <c r="O1563" s="31"/>
      <c r="P1563" s="30"/>
      <c r="Q1563" s="30"/>
      <c r="R1563" s="30"/>
    </row>
    <row r="1564" spans="6:18" s="1" customFormat="1" x14ac:dyDescent="0.3">
      <c r="F1564" s="12"/>
      <c r="H1564" s="12"/>
      <c r="N1564" s="31"/>
      <c r="O1564" s="31"/>
      <c r="P1564" s="30"/>
      <c r="Q1564" s="30"/>
      <c r="R1564" s="30"/>
    </row>
    <row r="1565" spans="6:18" s="1" customFormat="1" x14ac:dyDescent="0.3">
      <c r="F1565" s="12"/>
      <c r="H1565" s="12"/>
      <c r="N1565" s="31"/>
      <c r="O1565" s="31"/>
      <c r="P1565" s="30"/>
      <c r="Q1565" s="30"/>
      <c r="R1565" s="30"/>
    </row>
    <row r="1566" spans="6:18" s="1" customFormat="1" x14ac:dyDescent="0.3">
      <c r="F1566" s="12"/>
      <c r="H1566" s="12"/>
      <c r="N1566" s="31"/>
      <c r="O1566" s="31"/>
      <c r="P1566" s="30"/>
      <c r="Q1566" s="30"/>
      <c r="R1566" s="30"/>
    </row>
    <row r="1567" spans="6:18" s="1" customFormat="1" x14ac:dyDescent="0.3">
      <c r="F1567" s="12"/>
      <c r="H1567" s="12"/>
      <c r="N1567" s="31"/>
      <c r="O1567" s="31"/>
      <c r="P1567" s="30"/>
      <c r="Q1567" s="30"/>
      <c r="R1567" s="30"/>
    </row>
    <row r="1568" spans="6:18" s="1" customFormat="1" x14ac:dyDescent="0.3">
      <c r="F1568" s="12"/>
      <c r="H1568" s="12"/>
      <c r="N1568" s="31"/>
      <c r="O1568" s="31"/>
      <c r="P1568" s="30"/>
      <c r="Q1568" s="30"/>
      <c r="R1568" s="30"/>
    </row>
    <row r="1569" spans="6:18" s="1" customFormat="1" x14ac:dyDescent="0.3">
      <c r="F1569" s="12"/>
      <c r="H1569" s="12"/>
      <c r="N1569" s="31"/>
      <c r="O1569" s="31"/>
      <c r="P1569" s="30"/>
      <c r="Q1569" s="30"/>
      <c r="R1569" s="30"/>
    </row>
    <row r="1570" spans="6:18" s="1" customFormat="1" x14ac:dyDescent="0.3">
      <c r="F1570" s="12"/>
      <c r="H1570" s="12"/>
      <c r="N1570" s="31"/>
      <c r="O1570" s="31"/>
      <c r="P1570" s="30"/>
      <c r="Q1570" s="30"/>
      <c r="R1570" s="30"/>
    </row>
    <row r="1571" spans="6:18" s="1" customFormat="1" x14ac:dyDescent="0.3">
      <c r="F1571" s="12"/>
      <c r="H1571" s="12"/>
      <c r="N1571" s="31"/>
      <c r="O1571" s="31"/>
      <c r="P1571" s="30"/>
      <c r="Q1571" s="30"/>
      <c r="R1571" s="30"/>
    </row>
    <row r="1572" spans="6:18" s="1" customFormat="1" x14ac:dyDescent="0.3">
      <c r="F1572" s="12"/>
      <c r="H1572" s="12"/>
      <c r="N1572" s="31"/>
      <c r="O1572" s="31"/>
      <c r="P1572" s="30"/>
      <c r="Q1572" s="30"/>
      <c r="R1572" s="30"/>
    </row>
    <row r="1573" spans="6:18" s="1" customFormat="1" x14ac:dyDescent="0.3">
      <c r="F1573" s="12"/>
      <c r="H1573" s="12"/>
      <c r="N1573" s="31"/>
      <c r="O1573" s="31"/>
      <c r="P1573" s="30"/>
      <c r="Q1573" s="30"/>
      <c r="R1573" s="30"/>
    </row>
    <row r="1574" spans="6:18" s="1" customFormat="1" x14ac:dyDescent="0.3">
      <c r="F1574" s="12"/>
      <c r="H1574" s="12"/>
      <c r="N1574" s="31"/>
      <c r="O1574" s="31"/>
      <c r="P1574" s="30"/>
      <c r="Q1574" s="30"/>
      <c r="R1574" s="30"/>
    </row>
    <row r="1575" spans="6:18" s="1" customFormat="1" x14ac:dyDescent="0.3">
      <c r="F1575" s="12"/>
      <c r="H1575" s="12"/>
      <c r="N1575" s="31"/>
      <c r="O1575" s="31"/>
      <c r="P1575" s="30"/>
      <c r="Q1575" s="30"/>
      <c r="R1575" s="30"/>
    </row>
    <row r="1576" spans="6:18" s="1" customFormat="1" x14ac:dyDescent="0.3">
      <c r="F1576" s="12"/>
      <c r="H1576" s="12"/>
      <c r="N1576" s="31"/>
      <c r="O1576" s="31"/>
      <c r="P1576" s="30"/>
      <c r="Q1576" s="30"/>
      <c r="R1576" s="30"/>
    </row>
    <row r="1577" spans="6:18" s="1" customFormat="1" x14ac:dyDescent="0.3">
      <c r="F1577" s="12"/>
      <c r="H1577" s="12"/>
      <c r="N1577" s="31"/>
      <c r="O1577" s="31"/>
      <c r="P1577" s="30"/>
      <c r="Q1577" s="30"/>
      <c r="R1577" s="30"/>
    </row>
    <row r="1578" spans="6:18" s="1" customFormat="1" x14ac:dyDescent="0.3">
      <c r="F1578" s="12"/>
      <c r="H1578" s="12"/>
      <c r="N1578" s="31"/>
      <c r="O1578" s="31"/>
      <c r="P1578" s="30"/>
      <c r="Q1578" s="30"/>
      <c r="R1578" s="30"/>
    </row>
    <row r="1579" spans="6:18" s="1" customFormat="1" x14ac:dyDescent="0.3">
      <c r="F1579" s="12"/>
      <c r="H1579" s="12"/>
      <c r="N1579" s="31"/>
      <c r="O1579" s="31"/>
      <c r="P1579" s="30"/>
      <c r="Q1579" s="30"/>
      <c r="R1579" s="30"/>
    </row>
    <row r="1580" spans="6:18" s="1" customFormat="1" x14ac:dyDescent="0.3">
      <c r="F1580" s="12"/>
      <c r="H1580" s="12"/>
      <c r="N1580" s="31"/>
      <c r="O1580" s="31"/>
      <c r="P1580" s="30"/>
      <c r="Q1580" s="30"/>
      <c r="R1580" s="30"/>
    </row>
    <row r="1581" spans="6:18" s="1" customFormat="1" x14ac:dyDescent="0.3">
      <c r="F1581" s="12"/>
      <c r="H1581" s="12"/>
      <c r="N1581" s="31"/>
      <c r="O1581" s="31"/>
      <c r="P1581" s="30"/>
      <c r="Q1581" s="30"/>
      <c r="R1581" s="30"/>
    </row>
    <row r="1582" spans="6:18" s="1" customFormat="1" x14ac:dyDescent="0.3">
      <c r="F1582" s="12"/>
      <c r="H1582" s="12"/>
      <c r="N1582" s="31"/>
      <c r="O1582" s="31"/>
      <c r="P1582" s="30"/>
      <c r="Q1582" s="30"/>
      <c r="R1582" s="30"/>
    </row>
    <row r="1583" spans="6:18" s="1" customFormat="1" x14ac:dyDescent="0.3">
      <c r="F1583" s="12"/>
      <c r="H1583" s="12"/>
      <c r="N1583" s="31"/>
      <c r="O1583" s="31"/>
      <c r="P1583" s="30"/>
      <c r="Q1583" s="30"/>
      <c r="R1583" s="30"/>
    </row>
    <row r="1584" spans="6:18" s="1" customFormat="1" x14ac:dyDescent="0.3">
      <c r="F1584" s="12"/>
      <c r="H1584" s="12"/>
      <c r="N1584" s="31"/>
      <c r="O1584" s="31"/>
      <c r="P1584" s="30"/>
      <c r="Q1584" s="30"/>
      <c r="R1584" s="30"/>
    </row>
    <row r="1585" spans="6:18" s="1" customFormat="1" x14ac:dyDescent="0.3">
      <c r="F1585" s="12"/>
      <c r="H1585" s="12"/>
      <c r="N1585" s="31"/>
      <c r="O1585" s="31"/>
      <c r="P1585" s="30"/>
      <c r="Q1585" s="30"/>
      <c r="R1585" s="30"/>
    </row>
    <row r="1586" spans="6:18" s="1" customFormat="1" x14ac:dyDescent="0.3">
      <c r="F1586" s="12"/>
      <c r="H1586" s="12"/>
      <c r="N1586" s="31"/>
      <c r="O1586" s="31"/>
      <c r="P1586" s="30"/>
      <c r="Q1586" s="30"/>
      <c r="R1586" s="30"/>
    </row>
    <row r="1587" spans="6:18" s="1" customFormat="1" x14ac:dyDescent="0.3">
      <c r="F1587" s="12"/>
      <c r="H1587" s="12"/>
      <c r="N1587" s="31"/>
      <c r="O1587" s="31"/>
      <c r="P1587" s="30"/>
      <c r="Q1587" s="30"/>
      <c r="R1587" s="30"/>
    </row>
    <row r="1588" spans="6:18" s="1" customFormat="1" x14ac:dyDescent="0.3">
      <c r="F1588" s="12"/>
      <c r="H1588" s="12"/>
      <c r="N1588" s="31"/>
      <c r="O1588" s="31"/>
      <c r="P1588" s="30"/>
      <c r="Q1588" s="30"/>
      <c r="R1588" s="30"/>
    </row>
    <row r="1589" spans="6:18" s="1" customFormat="1" x14ac:dyDescent="0.3">
      <c r="F1589" s="12"/>
      <c r="H1589" s="12"/>
      <c r="N1589" s="31"/>
      <c r="O1589" s="31"/>
      <c r="P1589" s="30"/>
      <c r="Q1589" s="30"/>
      <c r="R1589" s="30"/>
    </row>
    <row r="1590" spans="6:18" s="1" customFormat="1" x14ac:dyDescent="0.3">
      <c r="F1590" s="12"/>
      <c r="H1590" s="12"/>
      <c r="N1590" s="31"/>
      <c r="O1590" s="31"/>
      <c r="P1590" s="30"/>
      <c r="Q1590" s="30"/>
      <c r="R1590" s="30"/>
    </row>
    <row r="1591" spans="6:18" s="1" customFormat="1" x14ac:dyDescent="0.3">
      <c r="F1591" s="12"/>
      <c r="H1591" s="12"/>
      <c r="N1591" s="31"/>
      <c r="O1591" s="31"/>
      <c r="P1591" s="30"/>
      <c r="Q1591" s="30"/>
      <c r="R1591" s="30"/>
    </row>
    <row r="1592" spans="6:18" s="1" customFormat="1" x14ac:dyDescent="0.3">
      <c r="F1592" s="12"/>
      <c r="H1592" s="12"/>
      <c r="N1592" s="31"/>
      <c r="O1592" s="31"/>
      <c r="P1592" s="30"/>
      <c r="Q1592" s="30"/>
      <c r="R1592" s="30"/>
    </row>
    <row r="1593" spans="6:18" s="1" customFormat="1" x14ac:dyDescent="0.3">
      <c r="F1593" s="12"/>
      <c r="H1593" s="12"/>
      <c r="N1593" s="31"/>
      <c r="O1593" s="31"/>
      <c r="P1593" s="30"/>
      <c r="Q1593" s="30"/>
      <c r="R1593" s="30"/>
    </row>
    <row r="1594" spans="6:18" s="1" customFormat="1" x14ac:dyDescent="0.3">
      <c r="F1594" s="12"/>
      <c r="H1594" s="12"/>
      <c r="N1594" s="31"/>
      <c r="O1594" s="31"/>
      <c r="P1594" s="30"/>
      <c r="Q1594" s="30"/>
      <c r="R1594" s="30"/>
    </row>
    <row r="1595" spans="6:18" s="1" customFormat="1" x14ac:dyDescent="0.3">
      <c r="F1595" s="12"/>
      <c r="H1595" s="12"/>
      <c r="N1595" s="31"/>
      <c r="O1595" s="31"/>
      <c r="P1595" s="30"/>
      <c r="Q1595" s="30"/>
      <c r="R1595" s="30"/>
    </row>
    <row r="1596" spans="6:18" s="1" customFormat="1" x14ac:dyDescent="0.3">
      <c r="F1596" s="12"/>
      <c r="H1596" s="12"/>
      <c r="N1596" s="31"/>
      <c r="O1596" s="31"/>
      <c r="P1596" s="30"/>
      <c r="Q1596" s="30"/>
      <c r="R1596" s="30"/>
    </row>
    <row r="1597" spans="6:18" s="1" customFormat="1" x14ac:dyDescent="0.3">
      <c r="F1597" s="12"/>
      <c r="H1597" s="12"/>
      <c r="N1597" s="31"/>
      <c r="O1597" s="31"/>
      <c r="P1597" s="30"/>
      <c r="Q1597" s="30"/>
      <c r="R1597" s="30"/>
    </row>
    <row r="1598" spans="6:18" s="1" customFormat="1" x14ac:dyDescent="0.3">
      <c r="F1598" s="12"/>
      <c r="H1598" s="12"/>
      <c r="N1598" s="31"/>
      <c r="O1598" s="31"/>
      <c r="P1598" s="30"/>
      <c r="Q1598" s="30"/>
      <c r="R1598" s="30"/>
    </row>
    <row r="1599" spans="6:18" s="1" customFormat="1" x14ac:dyDescent="0.3">
      <c r="F1599" s="12"/>
      <c r="H1599" s="12"/>
      <c r="N1599" s="31"/>
      <c r="O1599" s="31"/>
      <c r="P1599" s="30"/>
      <c r="Q1599" s="30"/>
      <c r="R1599" s="30"/>
    </row>
    <row r="1600" spans="6:18" s="1" customFormat="1" x14ac:dyDescent="0.3">
      <c r="F1600" s="12"/>
      <c r="H1600" s="12"/>
      <c r="N1600" s="31"/>
      <c r="O1600" s="31"/>
      <c r="P1600" s="30"/>
      <c r="Q1600" s="30"/>
      <c r="R1600" s="30"/>
    </row>
    <row r="1601" spans="6:18" s="1" customFormat="1" x14ac:dyDescent="0.3">
      <c r="F1601" s="12"/>
      <c r="H1601" s="12"/>
      <c r="N1601" s="31"/>
      <c r="O1601" s="31"/>
      <c r="P1601" s="30"/>
      <c r="Q1601" s="30"/>
      <c r="R1601" s="30"/>
    </row>
    <row r="1602" spans="6:18" s="1" customFormat="1" x14ac:dyDescent="0.3">
      <c r="F1602" s="12"/>
      <c r="H1602" s="12"/>
      <c r="N1602" s="31"/>
      <c r="O1602" s="31"/>
      <c r="P1602" s="30"/>
      <c r="Q1602" s="30"/>
      <c r="R1602" s="30"/>
    </row>
    <row r="1603" spans="6:18" s="1" customFormat="1" x14ac:dyDescent="0.3">
      <c r="F1603" s="12"/>
      <c r="H1603" s="12"/>
      <c r="N1603" s="31"/>
      <c r="O1603" s="31"/>
      <c r="P1603" s="30"/>
      <c r="Q1603" s="30"/>
      <c r="R1603" s="30"/>
    </row>
    <row r="1604" spans="6:18" s="1" customFormat="1" x14ac:dyDescent="0.3">
      <c r="F1604" s="12"/>
      <c r="H1604" s="12"/>
      <c r="N1604" s="31"/>
      <c r="O1604" s="31"/>
      <c r="P1604" s="30"/>
      <c r="Q1604" s="30"/>
      <c r="R1604" s="30"/>
    </row>
    <row r="1605" spans="6:18" s="1" customFormat="1" x14ac:dyDescent="0.3">
      <c r="F1605" s="12"/>
      <c r="H1605" s="12"/>
      <c r="N1605" s="31"/>
      <c r="O1605" s="31"/>
      <c r="P1605" s="30"/>
      <c r="Q1605" s="30"/>
      <c r="R1605" s="30"/>
    </row>
    <row r="1606" spans="6:18" s="1" customFormat="1" x14ac:dyDescent="0.3">
      <c r="F1606" s="12"/>
      <c r="H1606" s="12"/>
      <c r="N1606" s="31"/>
      <c r="O1606" s="31"/>
      <c r="P1606" s="30"/>
      <c r="Q1606" s="30"/>
      <c r="R1606" s="30"/>
    </row>
    <row r="1607" spans="6:18" s="1" customFormat="1" x14ac:dyDescent="0.3">
      <c r="F1607" s="12"/>
      <c r="H1607" s="12"/>
      <c r="N1607" s="31"/>
      <c r="O1607" s="31"/>
      <c r="P1607" s="30"/>
      <c r="Q1607" s="30"/>
      <c r="R1607" s="30"/>
    </row>
    <row r="1608" spans="6:18" s="1" customFormat="1" x14ac:dyDescent="0.3">
      <c r="F1608" s="12"/>
      <c r="H1608" s="12"/>
      <c r="N1608" s="31"/>
      <c r="O1608" s="31"/>
      <c r="P1608" s="30"/>
      <c r="Q1608" s="30"/>
      <c r="R1608" s="30"/>
    </row>
    <row r="1609" spans="6:18" s="1" customFormat="1" x14ac:dyDescent="0.3">
      <c r="F1609" s="12"/>
      <c r="H1609" s="12"/>
      <c r="N1609" s="31"/>
      <c r="O1609" s="31"/>
      <c r="P1609" s="30"/>
      <c r="Q1609" s="30"/>
      <c r="R1609" s="30"/>
    </row>
    <row r="1610" spans="6:18" s="1" customFormat="1" x14ac:dyDescent="0.3">
      <c r="F1610" s="12"/>
      <c r="H1610" s="12"/>
      <c r="N1610" s="31"/>
      <c r="O1610" s="31"/>
      <c r="P1610" s="30"/>
      <c r="Q1610" s="30"/>
      <c r="R1610" s="30"/>
    </row>
    <row r="1611" spans="6:18" s="1" customFormat="1" x14ac:dyDescent="0.3">
      <c r="F1611" s="12"/>
      <c r="H1611" s="12"/>
      <c r="N1611" s="31"/>
      <c r="O1611" s="31"/>
      <c r="P1611" s="30"/>
      <c r="Q1611" s="30"/>
      <c r="R1611" s="30"/>
    </row>
    <row r="1612" spans="6:18" s="1" customFormat="1" x14ac:dyDescent="0.3">
      <c r="F1612" s="12"/>
      <c r="H1612" s="12"/>
      <c r="N1612" s="31"/>
      <c r="O1612" s="31"/>
      <c r="P1612" s="30"/>
      <c r="Q1612" s="30"/>
      <c r="R1612" s="30"/>
    </row>
    <row r="1613" spans="6:18" s="1" customFormat="1" x14ac:dyDescent="0.3">
      <c r="F1613" s="12"/>
      <c r="H1613" s="12"/>
      <c r="N1613" s="31"/>
      <c r="O1613" s="31"/>
      <c r="P1613" s="30"/>
      <c r="Q1613" s="30"/>
      <c r="R1613" s="30"/>
    </row>
    <row r="1614" spans="6:18" s="1" customFormat="1" x14ac:dyDescent="0.3">
      <c r="F1614" s="12"/>
      <c r="H1614" s="12"/>
      <c r="N1614" s="31"/>
      <c r="O1614" s="31"/>
      <c r="P1614" s="30"/>
      <c r="Q1614" s="30"/>
      <c r="R1614" s="30"/>
    </row>
    <row r="1615" spans="6:18" s="1" customFormat="1" x14ac:dyDescent="0.3">
      <c r="F1615" s="12"/>
      <c r="H1615" s="12"/>
      <c r="N1615" s="31"/>
      <c r="O1615" s="31"/>
      <c r="P1615" s="30"/>
      <c r="Q1615" s="30"/>
      <c r="R1615" s="30"/>
    </row>
    <row r="1616" spans="6:18" s="1" customFormat="1" x14ac:dyDescent="0.3">
      <c r="F1616" s="12"/>
      <c r="H1616" s="12"/>
      <c r="N1616" s="31"/>
      <c r="O1616" s="31"/>
      <c r="P1616" s="30"/>
      <c r="Q1616" s="30"/>
      <c r="R1616" s="30"/>
    </row>
    <row r="1617" spans="6:18" s="1" customFormat="1" x14ac:dyDescent="0.3">
      <c r="F1617" s="12"/>
      <c r="H1617" s="12"/>
      <c r="N1617" s="31"/>
      <c r="O1617" s="31"/>
      <c r="P1617" s="30"/>
      <c r="Q1617" s="30"/>
      <c r="R1617" s="30"/>
    </row>
    <row r="1618" spans="6:18" s="1" customFormat="1" x14ac:dyDescent="0.3">
      <c r="F1618" s="12"/>
      <c r="H1618" s="12"/>
      <c r="N1618" s="31"/>
      <c r="O1618" s="31"/>
      <c r="P1618" s="30"/>
      <c r="Q1618" s="30"/>
      <c r="R1618" s="30"/>
    </row>
    <row r="1619" spans="6:18" s="1" customFormat="1" x14ac:dyDescent="0.3">
      <c r="F1619" s="12"/>
      <c r="H1619" s="12"/>
      <c r="N1619" s="31"/>
      <c r="O1619" s="31"/>
      <c r="P1619" s="30"/>
      <c r="Q1619" s="30"/>
      <c r="R1619" s="30"/>
    </row>
    <row r="1620" spans="6:18" s="1" customFormat="1" x14ac:dyDescent="0.3">
      <c r="F1620" s="12"/>
      <c r="H1620" s="12"/>
      <c r="N1620" s="31"/>
      <c r="O1620" s="31"/>
      <c r="P1620" s="30"/>
      <c r="Q1620" s="30"/>
      <c r="R1620" s="30"/>
    </row>
    <row r="1621" spans="6:18" s="1" customFormat="1" x14ac:dyDescent="0.3">
      <c r="F1621" s="12"/>
      <c r="H1621" s="12"/>
      <c r="N1621" s="31"/>
      <c r="O1621" s="31"/>
      <c r="P1621" s="30"/>
      <c r="Q1621" s="30"/>
      <c r="R1621" s="30"/>
    </row>
    <row r="1622" spans="6:18" s="1" customFormat="1" x14ac:dyDescent="0.3">
      <c r="F1622" s="12"/>
      <c r="H1622" s="12"/>
      <c r="N1622" s="31"/>
      <c r="O1622" s="31"/>
      <c r="P1622" s="30"/>
      <c r="Q1622" s="30"/>
      <c r="R1622" s="30"/>
    </row>
    <row r="1623" spans="6:18" s="1" customFormat="1" x14ac:dyDescent="0.3">
      <c r="F1623" s="12"/>
      <c r="H1623" s="12"/>
      <c r="N1623" s="31"/>
      <c r="O1623" s="31"/>
      <c r="P1623" s="30"/>
      <c r="Q1623" s="30"/>
      <c r="R1623" s="30"/>
    </row>
    <row r="1624" spans="6:18" s="1" customFormat="1" x14ac:dyDescent="0.3">
      <c r="F1624" s="12"/>
      <c r="H1624" s="12"/>
      <c r="N1624" s="31"/>
      <c r="O1624" s="31"/>
      <c r="P1624" s="30"/>
      <c r="Q1624" s="30"/>
      <c r="R1624" s="30"/>
    </row>
    <row r="1625" spans="6:18" s="1" customFormat="1" x14ac:dyDescent="0.3">
      <c r="F1625" s="12"/>
      <c r="H1625" s="12"/>
      <c r="N1625" s="31"/>
      <c r="O1625" s="31"/>
      <c r="P1625" s="30"/>
      <c r="Q1625" s="30"/>
      <c r="R1625" s="30"/>
    </row>
    <row r="1626" spans="6:18" s="1" customFormat="1" x14ac:dyDescent="0.3">
      <c r="F1626" s="12"/>
      <c r="H1626" s="12"/>
      <c r="N1626" s="31"/>
      <c r="O1626" s="31"/>
      <c r="P1626" s="30"/>
      <c r="Q1626" s="30"/>
      <c r="R1626" s="30"/>
    </row>
    <row r="1627" spans="6:18" s="1" customFormat="1" x14ac:dyDescent="0.3">
      <c r="F1627" s="12"/>
      <c r="H1627" s="12"/>
      <c r="N1627" s="31"/>
      <c r="O1627" s="31"/>
      <c r="P1627" s="30"/>
      <c r="Q1627" s="30"/>
      <c r="R1627" s="30"/>
    </row>
    <row r="1628" spans="6:18" s="1" customFormat="1" x14ac:dyDescent="0.3">
      <c r="F1628" s="12"/>
      <c r="H1628" s="12"/>
      <c r="N1628" s="31"/>
      <c r="O1628" s="31"/>
      <c r="P1628" s="30"/>
      <c r="Q1628" s="30"/>
      <c r="R1628" s="30"/>
    </row>
    <row r="1629" spans="6:18" s="1" customFormat="1" x14ac:dyDescent="0.3">
      <c r="F1629" s="12"/>
      <c r="H1629" s="12"/>
      <c r="N1629" s="31"/>
      <c r="O1629" s="31"/>
      <c r="P1629" s="30"/>
      <c r="Q1629" s="30"/>
      <c r="R1629" s="30"/>
    </row>
    <row r="1630" spans="6:18" s="1" customFormat="1" x14ac:dyDescent="0.3">
      <c r="F1630" s="12"/>
      <c r="H1630" s="12"/>
      <c r="N1630" s="31"/>
      <c r="O1630" s="31"/>
      <c r="P1630" s="30"/>
      <c r="Q1630" s="30"/>
      <c r="R1630" s="30"/>
    </row>
    <row r="1631" spans="6:18" s="1" customFormat="1" x14ac:dyDescent="0.3">
      <c r="F1631" s="12"/>
      <c r="H1631" s="12"/>
      <c r="N1631" s="31"/>
      <c r="O1631" s="31"/>
      <c r="P1631" s="30"/>
      <c r="Q1631" s="30"/>
      <c r="R1631" s="30"/>
    </row>
    <row r="1632" spans="6:18" s="1" customFormat="1" x14ac:dyDescent="0.3">
      <c r="F1632" s="12"/>
      <c r="H1632" s="12"/>
      <c r="N1632" s="31"/>
      <c r="O1632" s="31"/>
      <c r="P1632" s="30"/>
      <c r="Q1632" s="30"/>
      <c r="R1632" s="30"/>
    </row>
    <row r="1633" spans="6:18" s="1" customFormat="1" x14ac:dyDescent="0.3">
      <c r="F1633" s="12"/>
      <c r="H1633" s="12"/>
      <c r="N1633" s="31"/>
      <c r="O1633" s="31"/>
      <c r="P1633" s="30"/>
      <c r="Q1633" s="30"/>
      <c r="R1633" s="30"/>
    </row>
    <row r="1634" spans="6:18" s="1" customFormat="1" x14ac:dyDescent="0.3">
      <c r="F1634" s="12"/>
      <c r="H1634" s="12"/>
      <c r="N1634" s="31"/>
      <c r="O1634" s="31"/>
      <c r="P1634" s="30"/>
      <c r="Q1634" s="30"/>
      <c r="R1634" s="30"/>
    </row>
    <row r="1635" spans="6:18" s="1" customFormat="1" x14ac:dyDescent="0.3">
      <c r="F1635" s="12"/>
      <c r="H1635" s="12"/>
      <c r="N1635" s="31"/>
      <c r="O1635" s="31"/>
      <c r="P1635" s="30"/>
      <c r="Q1635" s="30"/>
      <c r="R1635" s="30"/>
    </row>
    <row r="1636" spans="6:18" s="1" customFormat="1" x14ac:dyDescent="0.3">
      <c r="F1636" s="12"/>
      <c r="H1636" s="12"/>
      <c r="N1636" s="31"/>
      <c r="O1636" s="31"/>
      <c r="P1636" s="30"/>
      <c r="Q1636" s="30"/>
      <c r="R1636" s="30"/>
    </row>
    <row r="1637" spans="6:18" s="1" customFormat="1" x14ac:dyDescent="0.3">
      <c r="F1637" s="12"/>
      <c r="H1637" s="12"/>
      <c r="N1637" s="31"/>
      <c r="O1637" s="31"/>
      <c r="P1637" s="30"/>
      <c r="Q1637" s="30"/>
      <c r="R1637" s="30"/>
    </row>
    <row r="1638" spans="6:18" s="1" customFormat="1" x14ac:dyDescent="0.3">
      <c r="F1638" s="12"/>
      <c r="H1638" s="12"/>
      <c r="N1638" s="31"/>
      <c r="O1638" s="31"/>
      <c r="P1638" s="30"/>
      <c r="Q1638" s="30"/>
      <c r="R1638" s="30"/>
    </row>
    <row r="1639" spans="6:18" s="1" customFormat="1" x14ac:dyDescent="0.3">
      <c r="F1639" s="12"/>
      <c r="H1639" s="12"/>
      <c r="N1639" s="31"/>
      <c r="O1639" s="31"/>
      <c r="P1639" s="30"/>
      <c r="Q1639" s="30"/>
      <c r="R1639" s="30"/>
    </row>
    <row r="1640" spans="6:18" s="1" customFormat="1" x14ac:dyDescent="0.3">
      <c r="F1640" s="12"/>
      <c r="H1640" s="12"/>
      <c r="N1640" s="31"/>
      <c r="O1640" s="31"/>
      <c r="P1640" s="30"/>
      <c r="Q1640" s="30"/>
      <c r="R1640" s="30"/>
    </row>
    <row r="1641" spans="6:18" s="1" customFormat="1" x14ac:dyDescent="0.3">
      <c r="F1641" s="12"/>
      <c r="H1641" s="12"/>
      <c r="N1641" s="31"/>
      <c r="O1641" s="31"/>
      <c r="P1641" s="30"/>
      <c r="Q1641" s="30"/>
      <c r="R1641" s="30"/>
    </row>
    <row r="1642" spans="6:18" s="1" customFormat="1" x14ac:dyDescent="0.3">
      <c r="F1642" s="12"/>
      <c r="H1642" s="12"/>
      <c r="N1642" s="31"/>
      <c r="O1642" s="31"/>
      <c r="P1642" s="30"/>
      <c r="Q1642" s="30"/>
      <c r="R1642" s="30"/>
    </row>
    <row r="1643" spans="6:18" s="1" customFormat="1" x14ac:dyDescent="0.3">
      <c r="F1643" s="12"/>
      <c r="H1643" s="12"/>
      <c r="N1643" s="31"/>
      <c r="O1643" s="31"/>
      <c r="P1643" s="30"/>
      <c r="Q1643" s="30"/>
      <c r="R1643" s="30"/>
    </row>
    <row r="1644" spans="6:18" s="1" customFormat="1" x14ac:dyDescent="0.3">
      <c r="F1644" s="12"/>
      <c r="H1644" s="12"/>
      <c r="N1644" s="31"/>
      <c r="O1644" s="31"/>
      <c r="P1644" s="30"/>
      <c r="Q1644" s="30"/>
      <c r="R1644" s="30"/>
    </row>
    <row r="1645" spans="6:18" s="1" customFormat="1" x14ac:dyDescent="0.3">
      <c r="F1645" s="12"/>
      <c r="H1645" s="12"/>
      <c r="N1645" s="31"/>
      <c r="O1645" s="31"/>
      <c r="P1645" s="30"/>
      <c r="Q1645" s="30"/>
      <c r="R1645" s="30"/>
    </row>
    <row r="1646" spans="6:18" s="1" customFormat="1" x14ac:dyDescent="0.3">
      <c r="F1646" s="12"/>
      <c r="H1646" s="12"/>
      <c r="N1646" s="31"/>
      <c r="O1646" s="31"/>
      <c r="P1646" s="30"/>
      <c r="Q1646" s="30"/>
      <c r="R1646" s="30"/>
    </row>
    <row r="1647" spans="6:18" s="1" customFormat="1" x14ac:dyDescent="0.3">
      <c r="F1647" s="12"/>
      <c r="H1647" s="12"/>
      <c r="N1647" s="31"/>
      <c r="O1647" s="31"/>
      <c r="P1647" s="30"/>
      <c r="Q1647" s="30"/>
      <c r="R1647" s="30"/>
    </row>
    <row r="1648" spans="6:18" s="1" customFormat="1" x14ac:dyDescent="0.3">
      <c r="F1648" s="12"/>
      <c r="H1648" s="12"/>
      <c r="N1648" s="31"/>
      <c r="O1648" s="31"/>
      <c r="P1648" s="30"/>
      <c r="Q1648" s="30"/>
      <c r="R1648" s="30"/>
    </row>
    <row r="1649" spans="6:18" s="1" customFormat="1" x14ac:dyDescent="0.3">
      <c r="F1649" s="12"/>
      <c r="H1649" s="12"/>
      <c r="N1649" s="31"/>
      <c r="O1649" s="31"/>
      <c r="P1649" s="30"/>
      <c r="Q1649" s="30"/>
      <c r="R1649" s="30"/>
    </row>
    <row r="1650" spans="6:18" s="1" customFormat="1" x14ac:dyDescent="0.3">
      <c r="F1650" s="12"/>
      <c r="H1650" s="12"/>
      <c r="N1650" s="31"/>
      <c r="O1650" s="31"/>
      <c r="P1650" s="30"/>
      <c r="Q1650" s="30"/>
      <c r="R1650" s="30"/>
    </row>
    <row r="1651" spans="6:18" s="1" customFormat="1" x14ac:dyDescent="0.3">
      <c r="F1651" s="12"/>
      <c r="H1651" s="12"/>
      <c r="N1651" s="31"/>
      <c r="O1651" s="31"/>
      <c r="P1651" s="30"/>
      <c r="Q1651" s="30"/>
      <c r="R1651" s="30"/>
    </row>
    <row r="1652" spans="6:18" s="1" customFormat="1" x14ac:dyDescent="0.3">
      <c r="F1652" s="12"/>
      <c r="H1652" s="12"/>
      <c r="N1652" s="31"/>
      <c r="O1652" s="31"/>
      <c r="P1652" s="30"/>
      <c r="Q1652" s="30"/>
      <c r="R1652" s="30"/>
    </row>
    <row r="1653" spans="6:18" s="1" customFormat="1" x14ac:dyDescent="0.3">
      <c r="F1653" s="12"/>
      <c r="H1653" s="12"/>
      <c r="N1653" s="31"/>
      <c r="O1653" s="31"/>
      <c r="P1653" s="30"/>
      <c r="Q1653" s="30"/>
      <c r="R1653" s="30"/>
    </row>
    <row r="1654" spans="6:18" s="1" customFormat="1" x14ac:dyDescent="0.3">
      <c r="F1654" s="12"/>
      <c r="H1654" s="12"/>
      <c r="N1654" s="31"/>
      <c r="O1654" s="31"/>
      <c r="P1654" s="30"/>
      <c r="Q1654" s="30"/>
      <c r="R1654" s="30"/>
    </row>
    <row r="1655" spans="6:18" s="1" customFormat="1" x14ac:dyDescent="0.3">
      <c r="F1655" s="12"/>
      <c r="H1655" s="12"/>
      <c r="N1655" s="31"/>
      <c r="O1655" s="31"/>
      <c r="P1655" s="30"/>
      <c r="Q1655" s="30"/>
      <c r="R1655" s="30"/>
    </row>
    <row r="1656" spans="6:18" s="1" customFormat="1" x14ac:dyDescent="0.3">
      <c r="F1656" s="12"/>
      <c r="H1656" s="12"/>
      <c r="N1656" s="31"/>
      <c r="O1656" s="31"/>
      <c r="P1656" s="30"/>
      <c r="Q1656" s="30"/>
      <c r="R1656" s="30"/>
    </row>
    <row r="1657" spans="6:18" s="1" customFormat="1" x14ac:dyDescent="0.3">
      <c r="F1657" s="12"/>
      <c r="H1657" s="12"/>
      <c r="N1657" s="31"/>
      <c r="O1657" s="31"/>
      <c r="P1657" s="30"/>
      <c r="Q1657" s="30"/>
      <c r="R1657" s="30"/>
    </row>
    <row r="1658" spans="6:18" s="1" customFormat="1" x14ac:dyDescent="0.3">
      <c r="F1658" s="12"/>
      <c r="H1658" s="12"/>
      <c r="N1658" s="31"/>
      <c r="O1658" s="31"/>
      <c r="P1658" s="30"/>
      <c r="Q1658" s="30"/>
      <c r="R1658" s="30"/>
    </row>
    <row r="1659" spans="6:18" s="1" customFormat="1" x14ac:dyDescent="0.3">
      <c r="F1659" s="12"/>
      <c r="H1659" s="12"/>
      <c r="N1659" s="31"/>
      <c r="O1659" s="31"/>
      <c r="P1659" s="30"/>
      <c r="Q1659" s="30"/>
      <c r="R1659" s="30"/>
    </row>
    <row r="1660" spans="6:18" s="1" customFormat="1" x14ac:dyDescent="0.3">
      <c r="F1660" s="12"/>
      <c r="H1660" s="12"/>
      <c r="N1660" s="31"/>
      <c r="O1660" s="31"/>
      <c r="P1660" s="30"/>
      <c r="Q1660" s="30"/>
      <c r="R1660" s="30"/>
    </row>
    <row r="1661" spans="6:18" s="1" customFormat="1" x14ac:dyDescent="0.3">
      <c r="F1661" s="12"/>
      <c r="H1661" s="12"/>
      <c r="N1661" s="31"/>
      <c r="O1661" s="31"/>
      <c r="P1661" s="30"/>
      <c r="Q1661" s="30"/>
      <c r="R1661" s="30"/>
    </row>
    <row r="1662" spans="6:18" s="1" customFormat="1" x14ac:dyDescent="0.3">
      <c r="F1662" s="12"/>
      <c r="H1662" s="12"/>
      <c r="N1662" s="31"/>
      <c r="O1662" s="31"/>
      <c r="P1662" s="30"/>
      <c r="Q1662" s="30"/>
      <c r="R1662" s="30"/>
    </row>
    <row r="1663" spans="6:18" s="1" customFormat="1" x14ac:dyDescent="0.3">
      <c r="F1663" s="12"/>
      <c r="H1663" s="12"/>
      <c r="N1663" s="31"/>
      <c r="O1663" s="31"/>
      <c r="P1663" s="30"/>
      <c r="Q1663" s="30"/>
      <c r="R1663" s="30"/>
    </row>
    <row r="1664" spans="6:18" s="1" customFormat="1" x14ac:dyDescent="0.3">
      <c r="F1664" s="12"/>
      <c r="H1664" s="12"/>
      <c r="N1664" s="31"/>
      <c r="O1664" s="31"/>
      <c r="P1664" s="30"/>
      <c r="Q1664" s="30"/>
      <c r="R1664" s="30"/>
    </row>
    <row r="1665" spans="6:18" s="1" customFormat="1" x14ac:dyDescent="0.3">
      <c r="F1665" s="12"/>
      <c r="H1665" s="12"/>
      <c r="N1665" s="31"/>
      <c r="O1665" s="31"/>
      <c r="P1665" s="30"/>
      <c r="Q1665" s="30"/>
      <c r="R1665" s="30"/>
    </row>
    <row r="1666" spans="6:18" s="1" customFormat="1" x14ac:dyDescent="0.3">
      <c r="F1666" s="12"/>
      <c r="H1666" s="12"/>
      <c r="N1666" s="31"/>
      <c r="O1666" s="31"/>
      <c r="P1666" s="30"/>
      <c r="Q1666" s="30"/>
      <c r="R1666" s="30"/>
    </row>
    <row r="1667" spans="6:18" s="1" customFormat="1" x14ac:dyDescent="0.3">
      <c r="F1667" s="12"/>
      <c r="H1667" s="12"/>
      <c r="N1667" s="31"/>
      <c r="O1667" s="31"/>
      <c r="P1667" s="30"/>
      <c r="Q1667" s="30"/>
      <c r="R1667" s="30"/>
    </row>
    <row r="1668" spans="6:18" s="1" customFormat="1" x14ac:dyDescent="0.3">
      <c r="F1668" s="12"/>
      <c r="H1668" s="12"/>
      <c r="N1668" s="31"/>
      <c r="O1668" s="31"/>
      <c r="P1668" s="30"/>
      <c r="Q1668" s="30"/>
      <c r="R1668" s="30"/>
    </row>
    <row r="1669" spans="6:18" s="1" customFormat="1" x14ac:dyDescent="0.3">
      <c r="F1669" s="12"/>
      <c r="H1669" s="12"/>
      <c r="N1669" s="31"/>
      <c r="O1669" s="31"/>
      <c r="P1669" s="30"/>
      <c r="Q1669" s="30"/>
      <c r="R1669" s="30"/>
    </row>
    <row r="1670" spans="6:18" s="1" customFormat="1" x14ac:dyDescent="0.3">
      <c r="F1670" s="12"/>
      <c r="H1670" s="12"/>
      <c r="N1670" s="31"/>
      <c r="O1670" s="31"/>
      <c r="P1670" s="30"/>
      <c r="Q1670" s="30"/>
      <c r="R1670" s="30"/>
    </row>
    <row r="1671" spans="6:18" s="1" customFormat="1" x14ac:dyDescent="0.3">
      <c r="F1671" s="12"/>
      <c r="H1671" s="12"/>
      <c r="N1671" s="31"/>
      <c r="O1671" s="31"/>
      <c r="P1671" s="30"/>
      <c r="Q1671" s="30"/>
      <c r="R1671" s="30"/>
    </row>
    <row r="1672" spans="6:18" s="1" customFormat="1" x14ac:dyDescent="0.3">
      <c r="F1672" s="12"/>
      <c r="H1672" s="12"/>
      <c r="N1672" s="31"/>
      <c r="O1672" s="31"/>
      <c r="P1672" s="30"/>
      <c r="Q1672" s="30"/>
      <c r="R1672" s="30"/>
    </row>
    <row r="1673" spans="6:18" s="1" customFormat="1" x14ac:dyDescent="0.3">
      <c r="F1673" s="12"/>
      <c r="H1673" s="12"/>
      <c r="N1673" s="31"/>
      <c r="O1673" s="31"/>
      <c r="P1673" s="30"/>
      <c r="Q1673" s="30"/>
      <c r="R1673" s="30"/>
    </row>
    <row r="1674" spans="6:18" s="1" customFormat="1" x14ac:dyDescent="0.3">
      <c r="F1674" s="12"/>
      <c r="H1674" s="12"/>
      <c r="N1674" s="31"/>
      <c r="O1674" s="31"/>
      <c r="P1674" s="30"/>
      <c r="Q1674" s="30"/>
      <c r="R1674" s="30"/>
    </row>
    <row r="1675" spans="6:18" s="1" customFormat="1" x14ac:dyDescent="0.3">
      <c r="F1675" s="12"/>
      <c r="H1675" s="12"/>
      <c r="N1675" s="31"/>
      <c r="O1675" s="31"/>
      <c r="P1675" s="30"/>
      <c r="Q1675" s="30"/>
      <c r="R1675" s="30"/>
    </row>
    <row r="1676" spans="6:18" s="1" customFormat="1" x14ac:dyDescent="0.3">
      <c r="F1676" s="12"/>
      <c r="H1676" s="12"/>
      <c r="N1676" s="31"/>
      <c r="O1676" s="31"/>
      <c r="P1676" s="30"/>
      <c r="Q1676" s="30"/>
      <c r="R1676" s="30"/>
    </row>
    <row r="1677" spans="6:18" s="1" customFormat="1" x14ac:dyDescent="0.3">
      <c r="F1677" s="12"/>
      <c r="H1677" s="12"/>
      <c r="N1677" s="31"/>
      <c r="O1677" s="31"/>
      <c r="P1677" s="30"/>
      <c r="Q1677" s="30"/>
      <c r="R1677" s="30"/>
    </row>
    <row r="1678" spans="6:18" s="1" customFormat="1" x14ac:dyDescent="0.3">
      <c r="F1678" s="12"/>
      <c r="H1678" s="12"/>
      <c r="N1678" s="31"/>
      <c r="O1678" s="31"/>
      <c r="P1678" s="30"/>
      <c r="Q1678" s="30"/>
      <c r="R1678" s="30"/>
    </row>
    <row r="1679" spans="6:18" s="1" customFormat="1" x14ac:dyDescent="0.3">
      <c r="F1679" s="12"/>
      <c r="H1679" s="12"/>
      <c r="N1679" s="31"/>
      <c r="O1679" s="31"/>
      <c r="P1679" s="30"/>
      <c r="Q1679" s="30"/>
      <c r="R1679" s="30"/>
    </row>
    <row r="1680" spans="6:18" s="1" customFormat="1" x14ac:dyDescent="0.3">
      <c r="F1680" s="12"/>
      <c r="H1680" s="12"/>
      <c r="N1680" s="31"/>
      <c r="O1680" s="31"/>
      <c r="P1680" s="30"/>
      <c r="Q1680" s="30"/>
      <c r="R1680" s="30"/>
    </row>
    <row r="1681" spans="6:18" s="1" customFormat="1" x14ac:dyDescent="0.3">
      <c r="F1681" s="12"/>
      <c r="H1681" s="12"/>
      <c r="N1681" s="31"/>
      <c r="O1681" s="31"/>
      <c r="P1681" s="30"/>
      <c r="Q1681" s="30"/>
      <c r="R1681" s="30"/>
    </row>
    <row r="1682" spans="6:18" s="1" customFormat="1" x14ac:dyDescent="0.3">
      <c r="F1682" s="12"/>
      <c r="H1682" s="12"/>
      <c r="N1682" s="31"/>
      <c r="O1682" s="31"/>
      <c r="P1682" s="30"/>
      <c r="Q1682" s="30"/>
      <c r="R1682" s="30"/>
    </row>
    <row r="1683" spans="6:18" s="1" customFormat="1" x14ac:dyDescent="0.3">
      <c r="F1683" s="12"/>
      <c r="H1683" s="12"/>
      <c r="N1683" s="31"/>
      <c r="O1683" s="31"/>
      <c r="P1683" s="30"/>
      <c r="Q1683" s="30"/>
      <c r="R1683" s="30"/>
    </row>
    <row r="1684" spans="6:18" s="1" customFormat="1" x14ac:dyDescent="0.3">
      <c r="F1684" s="12"/>
      <c r="H1684" s="12"/>
      <c r="N1684" s="31"/>
      <c r="O1684" s="31"/>
      <c r="P1684" s="30"/>
      <c r="Q1684" s="30"/>
      <c r="R1684" s="30"/>
    </row>
    <row r="1685" spans="6:18" s="1" customFormat="1" x14ac:dyDescent="0.3">
      <c r="F1685" s="12"/>
      <c r="H1685" s="12"/>
      <c r="N1685" s="31"/>
      <c r="O1685" s="31"/>
      <c r="P1685" s="30"/>
      <c r="Q1685" s="30"/>
      <c r="R1685" s="30"/>
    </row>
    <row r="1686" spans="6:18" s="1" customFormat="1" x14ac:dyDescent="0.3">
      <c r="F1686" s="12"/>
      <c r="H1686" s="12"/>
      <c r="N1686" s="31"/>
      <c r="O1686" s="31"/>
      <c r="P1686" s="30"/>
      <c r="Q1686" s="30"/>
      <c r="R1686" s="30"/>
    </row>
    <row r="1687" spans="6:18" s="1" customFormat="1" x14ac:dyDescent="0.3">
      <c r="F1687" s="12"/>
      <c r="H1687" s="12"/>
      <c r="N1687" s="31"/>
      <c r="O1687" s="31"/>
      <c r="P1687" s="30"/>
      <c r="Q1687" s="30"/>
      <c r="R1687" s="30"/>
    </row>
    <row r="1688" spans="6:18" s="1" customFormat="1" x14ac:dyDescent="0.3">
      <c r="F1688" s="12"/>
      <c r="H1688" s="12"/>
      <c r="N1688" s="31"/>
      <c r="O1688" s="31"/>
      <c r="P1688" s="30"/>
      <c r="Q1688" s="30"/>
      <c r="R1688" s="30"/>
    </row>
    <row r="1689" spans="6:18" s="1" customFormat="1" x14ac:dyDescent="0.3">
      <c r="F1689" s="12"/>
      <c r="H1689" s="12"/>
      <c r="N1689" s="31"/>
      <c r="O1689" s="31"/>
      <c r="P1689" s="30"/>
      <c r="Q1689" s="30"/>
      <c r="R1689" s="30"/>
    </row>
    <row r="1690" spans="6:18" s="1" customFormat="1" x14ac:dyDescent="0.3">
      <c r="F1690" s="12"/>
      <c r="H1690" s="12"/>
      <c r="N1690" s="31"/>
      <c r="O1690" s="31"/>
      <c r="P1690" s="30"/>
      <c r="Q1690" s="30"/>
      <c r="R1690" s="30"/>
    </row>
    <row r="1691" spans="6:18" s="1" customFormat="1" x14ac:dyDescent="0.3">
      <c r="F1691" s="12"/>
      <c r="H1691" s="12"/>
      <c r="N1691" s="31"/>
      <c r="O1691" s="31"/>
      <c r="P1691" s="30"/>
      <c r="Q1691" s="30"/>
      <c r="R1691" s="30"/>
    </row>
    <row r="1692" spans="6:18" s="1" customFormat="1" x14ac:dyDescent="0.3">
      <c r="F1692" s="12"/>
      <c r="H1692" s="12"/>
      <c r="N1692" s="31"/>
      <c r="O1692" s="31"/>
      <c r="P1692" s="30"/>
      <c r="Q1692" s="30"/>
      <c r="R1692" s="30"/>
    </row>
    <row r="1693" spans="6:18" s="1" customFormat="1" x14ac:dyDescent="0.3">
      <c r="F1693" s="12"/>
      <c r="H1693" s="12"/>
      <c r="N1693" s="31"/>
      <c r="O1693" s="31"/>
      <c r="P1693" s="30"/>
      <c r="Q1693" s="30"/>
      <c r="R1693" s="30"/>
    </row>
    <row r="1694" spans="6:18" s="1" customFormat="1" x14ac:dyDescent="0.3">
      <c r="F1694" s="12"/>
      <c r="H1694" s="12"/>
      <c r="N1694" s="31"/>
      <c r="O1694" s="31"/>
      <c r="P1694" s="30"/>
      <c r="Q1694" s="30"/>
      <c r="R1694" s="30"/>
    </row>
    <row r="1695" spans="6:18" s="1" customFormat="1" x14ac:dyDescent="0.3">
      <c r="F1695" s="12"/>
      <c r="H1695" s="12"/>
      <c r="N1695" s="31"/>
      <c r="O1695" s="31"/>
      <c r="P1695" s="30"/>
      <c r="Q1695" s="30"/>
      <c r="R1695" s="30"/>
    </row>
    <row r="1696" spans="6:18" s="1" customFormat="1" x14ac:dyDescent="0.3">
      <c r="F1696" s="12"/>
      <c r="H1696" s="12"/>
      <c r="N1696" s="31"/>
      <c r="O1696" s="31"/>
      <c r="P1696" s="30"/>
      <c r="Q1696" s="30"/>
      <c r="R1696" s="30"/>
    </row>
    <row r="1697" spans="6:18" s="1" customFormat="1" x14ac:dyDescent="0.3">
      <c r="F1697" s="12"/>
      <c r="H1697" s="12"/>
      <c r="N1697" s="31"/>
      <c r="O1697" s="31"/>
      <c r="P1697" s="30"/>
      <c r="Q1697" s="30"/>
      <c r="R1697" s="30"/>
    </row>
    <row r="1698" spans="6:18" s="1" customFormat="1" x14ac:dyDescent="0.3">
      <c r="F1698" s="12"/>
      <c r="H1698" s="12"/>
      <c r="N1698" s="31"/>
      <c r="O1698" s="31"/>
      <c r="P1698" s="30"/>
      <c r="Q1698" s="30"/>
      <c r="R1698" s="30"/>
    </row>
    <row r="1699" spans="6:18" s="1" customFormat="1" x14ac:dyDescent="0.3">
      <c r="F1699" s="12"/>
      <c r="H1699" s="12"/>
      <c r="N1699" s="31"/>
      <c r="O1699" s="31"/>
      <c r="P1699" s="30"/>
      <c r="Q1699" s="30"/>
      <c r="R1699" s="30"/>
    </row>
    <row r="1700" spans="6:18" s="1" customFormat="1" x14ac:dyDescent="0.3">
      <c r="F1700" s="12"/>
      <c r="H1700" s="12"/>
      <c r="N1700" s="31"/>
      <c r="O1700" s="31"/>
      <c r="P1700" s="30"/>
      <c r="Q1700" s="30"/>
      <c r="R1700" s="30"/>
    </row>
    <row r="1701" spans="6:18" s="1" customFormat="1" x14ac:dyDescent="0.3">
      <c r="F1701" s="12"/>
      <c r="H1701" s="12"/>
      <c r="N1701" s="31"/>
      <c r="O1701" s="31"/>
      <c r="P1701" s="30"/>
      <c r="Q1701" s="30"/>
      <c r="R1701" s="30"/>
    </row>
    <row r="1702" spans="6:18" s="1" customFormat="1" x14ac:dyDescent="0.3">
      <c r="F1702" s="12"/>
      <c r="H1702" s="12"/>
      <c r="N1702" s="31"/>
      <c r="O1702" s="31"/>
      <c r="P1702" s="30"/>
      <c r="Q1702" s="30"/>
      <c r="R1702" s="30"/>
    </row>
    <row r="1703" spans="6:18" s="1" customFormat="1" x14ac:dyDescent="0.3">
      <c r="F1703" s="12"/>
      <c r="H1703" s="12"/>
      <c r="N1703" s="31"/>
      <c r="O1703" s="31"/>
      <c r="P1703" s="30"/>
      <c r="Q1703" s="30"/>
      <c r="R1703" s="30"/>
    </row>
    <row r="1704" spans="6:18" s="1" customFormat="1" x14ac:dyDescent="0.3">
      <c r="F1704" s="12"/>
      <c r="H1704" s="12"/>
      <c r="N1704" s="31"/>
      <c r="O1704" s="31"/>
      <c r="P1704" s="30"/>
      <c r="Q1704" s="30"/>
      <c r="R1704" s="30"/>
    </row>
    <row r="1705" spans="6:18" s="1" customFormat="1" x14ac:dyDescent="0.3">
      <c r="F1705" s="12"/>
      <c r="H1705" s="12"/>
      <c r="N1705" s="31"/>
      <c r="O1705" s="31"/>
      <c r="P1705" s="30"/>
      <c r="Q1705" s="30"/>
      <c r="R1705" s="30"/>
    </row>
    <row r="1706" spans="6:18" s="1" customFormat="1" x14ac:dyDescent="0.3">
      <c r="F1706" s="12"/>
      <c r="H1706" s="12"/>
      <c r="N1706" s="31"/>
      <c r="O1706" s="31"/>
      <c r="P1706" s="30"/>
      <c r="Q1706" s="30"/>
      <c r="R1706" s="30"/>
    </row>
    <row r="1707" spans="6:18" s="1" customFormat="1" x14ac:dyDescent="0.3">
      <c r="F1707" s="12"/>
      <c r="H1707" s="12"/>
      <c r="N1707" s="31"/>
      <c r="O1707" s="31"/>
      <c r="P1707" s="30"/>
      <c r="Q1707" s="30"/>
      <c r="R1707" s="30"/>
    </row>
    <row r="1708" spans="6:18" s="1" customFormat="1" x14ac:dyDescent="0.3">
      <c r="F1708" s="12"/>
      <c r="H1708" s="12"/>
      <c r="N1708" s="31"/>
      <c r="O1708" s="31"/>
      <c r="P1708" s="30"/>
      <c r="Q1708" s="30"/>
      <c r="R1708" s="30"/>
    </row>
    <row r="1709" spans="6:18" s="1" customFormat="1" x14ac:dyDescent="0.3">
      <c r="F1709" s="12"/>
      <c r="H1709" s="12"/>
      <c r="N1709" s="31"/>
      <c r="O1709" s="31"/>
      <c r="P1709" s="30"/>
      <c r="Q1709" s="30"/>
      <c r="R1709" s="30"/>
    </row>
    <row r="1710" spans="6:18" s="1" customFormat="1" x14ac:dyDescent="0.3">
      <c r="F1710" s="12"/>
      <c r="H1710" s="12"/>
      <c r="N1710" s="31"/>
      <c r="O1710" s="31"/>
      <c r="P1710" s="30"/>
      <c r="Q1710" s="30"/>
      <c r="R1710" s="30"/>
    </row>
    <row r="1711" spans="6:18" s="1" customFormat="1" x14ac:dyDescent="0.3">
      <c r="F1711" s="12"/>
      <c r="H1711" s="12"/>
      <c r="N1711" s="31"/>
      <c r="O1711" s="31"/>
      <c r="P1711" s="30"/>
      <c r="Q1711" s="30"/>
      <c r="R1711" s="30"/>
    </row>
    <row r="1712" spans="6:18" s="1" customFormat="1" x14ac:dyDescent="0.3">
      <c r="F1712" s="12"/>
      <c r="H1712" s="12"/>
      <c r="N1712" s="31"/>
      <c r="O1712" s="31"/>
      <c r="P1712" s="30"/>
      <c r="Q1712" s="30"/>
      <c r="R1712" s="30"/>
    </row>
    <row r="1713" spans="6:18" s="1" customFormat="1" x14ac:dyDescent="0.3">
      <c r="F1713" s="12"/>
      <c r="H1713" s="12"/>
      <c r="N1713" s="31"/>
      <c r="O1713" s="31"/>
      <c r="P1713" s="30"/>
      <c r="Q1713" s="30"/>
      <c r="R1713" s="30"/>
    </row>
    <row r="1714" spans="6:18" s="1" customFormat="1" x14ac:dyDescent="0.3">
      <c r="F1714" s="12"/>
      <c r="H1714" s="12"/>
      <c r="N1714" s="31"/>
      <c r="O1714" s="31"/>
      <c r="P1714" s="30"/>
      <c r="Q1714" s="30"/>
      <c r="R1714" s="30"/>
    </row>
    <row r="1715" spans="6:18" s="1" customFormat="1" x14ac:dyDescent="0.3">
      <c r="F1715" s="12"/>
      <c r="H1715" s="12"/>
      <c r="N1715" s="31"/>
      <c r="O1715" s="31"/>
      <c r="P1715" s="30"/>
      <c r="Q1715" s="30"/>
      <c r="R1715" s="30"/>
    </row>
    <row r="1716" spans="6:18" s="1" customFormat="1" x14ac:dyDescent="0.3">
      <c r="F1716" s="12"/>
      <c r="H1716" s="12"/>
      <c r="N1716" s="31"/>
      <c r="O1716" s="31"/>
      <c r="P1716" s="30"/>
      <c r="Q1716" s="30"/>
      <c r="R1716" s="30"/>
    </row>
    <row r="1717" spans="6:18" s="1" customFormat="1" x14ac:dyDescent="0.3">
      <c r="F1717" s="12"/>
      <c r="H1717" s="12"/>
      <c r="N1717" s="31"/>
      <c r="O1717" s="31"/>
      <c r="P1717" s="30"/>
      <c r="Q1717" s="30"/>
      <c r="R1717" s="30"/>
    </row>
    <row r="1718" spans="6:18" s="1" customFormat="1" x14ac:dyDescent="0.3">
      <c r="F1718" s="12"/>
      <c r="H1718" s="12"/>
      <c r="N1718" s="31"/>
      <c r="O1718" s="31"/>
      <c r="P1718" s="30"/>
      <c r="Q1718" s="30"/>
      <c r="R1718" s="30"/>
    </row>
    <row r="1719" spans="6:18" s="1" customFormat="1" x14ac:dyDescent="0.3">
      <c r="F1719" s="12"/>
      <c r="H1719" s="12"/>
      <c r="N1719" s="31"/>
      <c r="O1719" s="31"/>
      <c r="P1719" s="30"/>
      <c r="Q1719" s="30"/>
      <c r="R1719" s="30"/>
    </row>
    <row r="1720" spans="6:18" s="1" customFormat="1" x14ac:dyDescent="0.3">
      <c r="F1720" s="12"/>
      <c r="H1720" s="12"/>
      <c r="N1720" s="31"/>
      <c r="O1720" s="31"/>
      <c r="P1720" s="30"/>
      <c r="Q1720" s="30"/>
      <c r="R1720" s="30"/>
    </row>
    <row r="1721" spans="6:18" s="1" customFormat="1" x14ac:dyDescent="0.3">
      <c r="F1721" s="12"/>
      <c r="H1721" s="12"/>
      <c r="N1721" s="31"/>
      <c r="O1721" s="31"/>
      <c r="P1721" s="30"/>
      <c r="Q1721" s="30"/>
      <c r="R1721" s="30"/>
    </row>
    <row r="1722" spans="6:18" s="1" customFormat="1" x14ac:dyDescent="0.3">
      <c r="F1722" s="12"/>
      <c r="H1722" s="12"/>
      <c r="N1722" s="31"/>
      <c r="O1722" s="31"/>
      <c r="P1722" s="30"/>
      <c r="Q1722" s="30"/>
      <c r="R1722" s="30"/>
    </row>
    <row r="1723" spans="6:18" s="1" customFormat="1" x14ac:dyDescent="0.3">
      <c r="F1723" s="12"/>
      <c r="H1723" s="12"/>
      <c r="N1723" s="31"/>
      <c r="O1723" s="31"/>
      <c r="P1723" s="30"/>
      <c r="Q1723" s="30"/>
      <c r="R1723" s="30"/>
    </row>
    <row r="1724" spans="6:18" s="1" customFormat="1" x14ac:dyDescent="0.3">
      <c r="F1724" s="12"/>
      <c r="H1724" s="12"/>
      <c r="N1724" s="31"/>
      <c r="O1724" s="31"/>
      <c r="P1724" s="30"/>
      <c r="Q1724" s="30"/>
      <c r="R1724" s="30"/>
    </row>
    <row r="1725" spans="6:18" s="1" customFormat="1" x14ac:dyDescent="0.3">
      <c r="F1725" s="12"/>
      <c r="H1725" s="12"/>
      <c r="N1725" s="31"/>
      <c r="O1725" s="31"/>
      <c r="P1725" s="30"/>
      <c r="Q1725" s="30"/>
      <c r="R1725" s="30"/>
    </row>
    <row r="1726" spans="6:18" s="1" customFormat="1" x14ac:dyDescent="0.3">
      <c r="F1726" s="12"/>
      <c r="H1726" s="12"/>
      <c r="N1726" s="31"/>
      <c r="O1726" s="31"/>
      <c r="P1726" s="30"/>
      <c r="Q1726" s="30"/>
      <c r="R1726" s="30"/>
    </row>
    <row r="1727" spans="6:18" s="1" customFormat="1" x14ac:dyDescent="0.3">
      <c r="F1727" s="12"/>
      <c r="H1727" s="12"/>
      <c r="N1727" s="31"/>
      <c r="O1727" s="31"/>
      <c r="P1727" s="30"/>
      <c r="Q1727" s="30"/>
      <c r="R1727" s="30"/>
    </row>
    <row r="1728" spans="6:18" s="1" customFormat="1" x14ac:dyDescent="0.3">
      <c r="F1728" s="12"/>
      <c r="H1728" s="12"/>
      <c r="N1728" s="31"/>
      <c r="O1728" s="31"/>
      <c r="P1728" s="30"/>
      <c r="Q1728" s="30"/>
      <c r="R1728" s="30"/>
    </row>
    <row r="1729" spans="6:18" s="1" customFormat="1" x14ac:dyDescent="0.3">
      <c r="F1729" s="12"/>
      <c r="H1729" s="12"/>
      <c r="N1729" s="31"/>
      <c r="O1729" s="31"/>
      <c r="P1729" s="30"/>
      <c r="Q1729" s="30"/>
      <c r="R1729" s="30"/>
    </row>
    <row r="1730" spans="6:18" s="1" customFormat="1" x14ac:dyDescent="0.3">
      <c r="F1730" s="12"/>
      <c r="H1730" s="12"/>
      <c r="N1730" s="31"/>
      <c r="O1730" s="31"/>
      <c r="P1730" s="30"/>
      <c r="Q1730" s="30"/>
      <c r="R1730" s="30"/>
    </row>
    <row r="1731" spans="6:18" s="1" customFormat="1" x14ac:dyDescent="0.3">
      <c r="F1731" s="12"/>
      <c r="H1731" s="12"/>
      <c r="N1731" s="31"/>
      <c r="O1731" s="31"/>
      <c r="P1731" s="30"/>
      <c r="Q1731" s="30"/>
      <c r="R1731" s="30"/>
    </row>
    <row r="1732" spans="6:18" s="1" customFormat="1" x14ac:dyDescent="0.3">
      <c r="F1732" s="12"/>
      <c r="H1732" s="12"/>
      <c r="N1732" s="31"/>
      <c r="O1732" s="31"/>
      <c r="P1732" s="30"/>
      <c r="Q1732" s="30"/>
      <c r="R1732" s="30"/>
    </row>
    <row r="1733" spans="6:18" s="1" customFormat="1" x14ac:dyDescent="0.3">
      <c r="F1733" s="12"/>
      <c r="H1733" s="12"/>
      <c r="N1733" s="31"/>
      <c r="O1733" s="31"/>
      <c r="P1733" s="30"/>
      <c r="Q1733" s="30"/>
      <c r="R1733" s="30"/>
    </row>
    <row r="1734" spans="6:18" s="1" customFormat="1" x14ac:dyDescent="0.3">
      <c r="F1734" s="12"/>
      <c r="H1734" s="12"/>
      <c r="N1734" s="31"/>
      <c r="O1734" s="31"/>
      <c r="P1734" s="30"/>
      <c r="Q1734" s="30"/>
      <c r="R1734" s="30"/>
    </row>
    <row r="1735" spans="6:18" s="1" customFormat="1" x14ac:dyDescent="0.3">
      <c r="F1735" s="12"/>
      <c r="H1735" s="12"/>
      <c r="N1735" s="31"/>
      <c r="O1735" s="31"/>
      <c r="P1735" s="30"/>
      <c r="Q1735" s="30"/>
      <c r="R1735" s="30"/>
    </row>
    <row r="1736" spans="6:18" s="1" customFormat="1" x14ac:dyDescent="0.3">
      <c r="F1736" s="12"/>
      <c r="H1736" s="12"/>
      <c r="N1736" s="31"/>
      <c r="O1736" s="31"/>
      <c r="P1736" s="30"/>
      <c r="Q1736" s="30"/>
      <c r="R1736" s="30"/>
    </row>
    <row r="1737" spans="6:18" s="1" customFormat="1" x14ac:dyDescent="0.3">
      <c r="F1737" s="12"/>
      <c r="H1737" s="12"/>
      <c r="N1737" s="31"/>
      <c r="O1737" s="31"/>
      <c r="P1737" s="30"/>
      <c r="Q1737" s="30"/>
      <c r="R1737" s="30"/>
    </row>
    <row r="1738" spans="6:18" s="1" customFormat="1" x14ac:dyDescent="0.3">
      <c r="F1738" s="12"/>
      <c r="H1738" s="12"/>
      <c r="N1738" s="31"/>
      <c r="O1738" s="31"/>
      <c r="P1738" s="30"/>
      <c r="Q1738" s="30"/>
      <c r="R1738" s="30"/>
    </row>
    <row r="1739" spans="6:18" s="1" customFormat="1" x14ac:dyDescent="0.3">
      <c r="F1739" s="12"/>
      <c r="H1739" s="12"/>
      <c r="N1739" s="31"/>
      <c r="O1739" s="31"/>
      <c r="P1739" s="30"/>
      <c r="Q1739" s="30"/>
      <c r="R1739" s="30"/>
    </row>
    <row r="1740" spans="6:18" s="1" customFormat="1" x14ac:dyDescent="0.3">
      <c r="F1740" s="12"/>
      <c r="H1740" s="12"/>
      <c r="N1740" s="31"/>
      <c r="O1740" s="31"/>
      <c r="P1740" s="30"/>
      <c r="Q1740" s="30"/>
      <c r="R1740" s="30"/>
    </row>
    <row r="1741" spans="6:18" s="1" customFormat="1" x14ac:dyDescent="0.3">
      <c r="F1741" s="12"/>
      <c r="H1741" s="12"/>
      <c r="N1741" s="31"/>
      <c r="O1741" s="31"/>
      <c r="P1741" s="30"/>
      <c r="Q1741" s="30"/>
      <c r="R1741" s="30"/>
    </row>
    <row r="1742" spans="6:18" s="1" customFormat="1" x14ac:dyDescent="0.3">
      <c r="F1742" s="12"/>
      <c r="H1742" s="12"/>
      <c r="N1742" s="31"/>
      <c r="O1742" s="31"/>
      <c r="P1742" s="30"/>
      <c r="Q1742" s="30"/>
      <c r="R1742" s="30"/>
    </row>
    <row r="1743" spans="6:18" s="1" customFormat="1" x14ac:dyDescent="0.3">
      <c r="F1743" s="12"/>
      <c r="H1743" s="12"/>
      <c r="N1743" s="31"/>
      <c r="O1743" s="31"/>
      <c r="P1743" s="30"/>
      <c r="Q1743" s="30"/>
      <c r="R1743" s="30"/>
    </row>
    <row r="1744" spans="6:18" s="1" customFormat="1" x14ac:dyDescent="0.3">
      <c r="F1744" s="12"/>
      <c r="H1744" s="12"/>
      <c r="N1744" s="31"/>
      <c r="O1744" s="31"/>
      <c r="P1744" s="30"/>
      <c r="Q1744" s="30"/>
      <c r="R1744" s="30"/>
    </row>
    <row r="1745" spans="6:18" s="1" customFormat="1" x14ac:dyDescent="0.3">
      <c r="F1745" s="12"/>
      <c r="H1745" s="12"/>
      <c r="N1745" s="31"/>
      <c r="O1745" s="31"/>
      <c r="P1745" s="30"/>
      <c r="Q1745" s="30"/>
      <c r="R1745" s="30"/>
    </row>
    <row r="1746" spans="6:18" s="1" customFormat="1" x14ac:dyDescent="0.3">
      <c r="F1746" s="12"/>
      <c r="H1746" s="12"/>
      <c r="N1746" s="31"/>
      <c r="O1746" s="31"/>
      <c r="P1746" s="30"/>
      <c r="Q1746" s="30"/>
      <c r="R1746" s="30"/>
    </row>
    <row r="1747" spans="6:18" s="1" customFormat="1" x14ac:dyDescent="0.3">
      <c r="F1747" s="12"/>
      <c r="H1747" s="12"/>
      <c r="N1747" s="31"/>
      <c r="O1747" s="31"/>
      <c r="P1747" s="30"/>
      <c r="Q1747" s="30"/>
      <c r="R1747" s="30"/>
    </row>
    <row r="1748" spans="6:18" s="1" customFormat="1" x14ac:dyDescent="0.3">
      <c r="F1748" s="12"/>
      <c r="H1748" s="12"/>
      <c r="N1748" s="31"/>
      <c r="O1748" s="31"/>
      <c r="P1748" s="30"/>
      <c r="Q1748" s="30"/>
      <c r="R1748" s="30"/>
    </row>
    <row r="1749" spans="6:18" s="1" customFormat="1" x14ac:dyDescent="0.3">
      <c r="F1749" s="12"/>
      <c r="H1749" s="12"/>
      <c r="N1749" s="31"/>
      <c r="O1749" s="31"/>
      <c r="P1749" s="30"/>
      <c r="Q1749" s="30"/>
      <c r="R1749" s="30"/>
    </row>
    <row r="1750" spans="6:18" s="1" customFormat="1" x14ac:dyDescent="0.3">
      <c r="F1750" s="12"/>
      <c r="H1750" s="12"/>
      <c r="N1750" s="31"/>
      <c r="O1750" s="31"/>
      <c r="P1750" s="30"/>
      <c r="Q1750" s="30"/>
      <c r="R1750" s="30"/>
    </row>
    <row r="1751" spans="6:18" s="1" customFormat="1" x14ac:dyDescent="0.3">
      <c r="F1751" s="12"/>
      <c r="H1751" s="12"/>
      <c r="N1751" s="31"/>
      <c r="O1751" s="31"/>
      <c r="P1751" s="30"/>
      <c r="Q1751" s="30"/>
      <c r="R1751" s="30"/>
    </row>
    <row r="1752" spans="6:18" s="1" customFormat="1" x14ac:dyDescent="0.3">
      <c r="F1752" s="12"/>
      <c r="H1752" s="12"/>
      <c r="N1752" s="31"/>
      <c r="O1752" s="31"/>
      <c r="P1752" s="30"/>
      <c r="Q1752" s="30"/>
      <c r="R1752" s="30"/>
    </row>
    <row r="1753" spans="6:18" s="1" customFormat="1" x14ac:dyDescent="0.3">
      <c r="F1753" s="12"/>
      <c r="H1753" s="12"/>
      <c r="N1753" s="31"/>
      <c r="O1753" s="31"/>
      <c r="P1753" s="30"/>
      <c r="Q1753" s="30"/>
      <c r="R1753" s="30"/>
    </row>
    <row r="1754" spans="6:18" s="1" customFormat="1" x14ac:dyDescent="0.3">
      <c r="F1754" s="12"/>
      <c r="H1754" s="12"/>
      <c r="N1754" s="31"/>
      <c r="O1754" s="31"/>
      <c r="P1754" s="30"/>
      <c r="Q1754" s="30"/>
      <c r="R1754" s="30"/>
    </row>
    <row r="1755" spans="6:18" s="1" customFormat="1" x14ac:dyDescent="0.3">
      <c r="F1755" s="12"/>
      <c r="H1755" s="12"/>
      <c r="N1755" s="31"/>
      <c r="O1755" s="31"/>
      <c r="P1755" s="30"/>
      <c r="Q1755" s="30"/>
      <c r="R1755" s="30"/>
    </row>
    <row r="1756" spans="6:18" s="1" customFormat="1" x14ac:dyDescent="0.3">
      <c r="F1756" s="12"/>
      <c r="H1756" s="12"/>
      <c r="N1756" s="31"/>
      <c r="O1756" s="31"/>
      <c r="P1756" s="30"/>
      <c r="Q1756" s="30"/>
      <c r="R1756" s="30"/>
    </row>
    <row r="1757" spans="6:18" s="1" customFormat="1" x14ac:dyDescent="0.3">
      <c r="F1757" s="12"/>
      <c r="H1757" s="12"/>
      <c r="N1757" s="31"/>
      <c r="O1757" s="31"/>
      <c r="P1757" s="30"/>
      <c r="Q1757" s="30"/>
      <c r="R1757" s="30"/>
    </row>
    <row r="1758" spans="6:18" s="1" customFormat="1" x14ac:dyDescent="0.3">
      <c r="F1758" s="12"/>
      <c r="H1758" s="12"/>
      <c r="N1758" s="31"/>
      <c r="O1758" s="31"/>
      <c r="P1758" s="30"/>
      <c r="Q1758" s="30"/>
      <c r="R1758" s="30"/>
    </row>
    <row r="1759" spans="6:18" s="1" customFormat="1" x14ac:dyDescent="0.3">
      <c r="F1759" s="12"/>
      <c r="H1759" s="12"/>
      <c r="N1759" s="31"/>
      <c r="O1759" s="31"/>
      <c r="P1759" s="30"/>
      <c r="Q1759" s="30"/>
      <c r="R1759" s="30"/>
    </row>
    <row r="1760" spans="6:18" s="1" customFormat="1" x14ac:dyDescent="0.3">
      <c r="F1760" s="12"/>
      <c r="H1760" s="12"/>
      <c r="N1760" s="31"/>
      <c r="O1760" s="31"/>
      <c r="P1760" s="30"/>
      <c r="Q1760" s="30"/>
      <c r="R1760" s="30"/>
    </row>
    <row r="1761" spans="6:18" s="1" customFormat="1" x14ac:dyDescent="0.3">
      <c r="F1761" s="12"/>
      <c r="H1761" s="12"/>
      <c r="N1761" s="31"/>
      <c r="O1761" s="31"/>
      <c r="P1761" s="30"/>
      <c r="Q1761" s="30"/>
      <c r="R1761" s="30"/>
    </row>
    <row r="1762" spans="6:18" s="1" customFormat="1" x14ac:dyDescent="0.3">
      <c r="F1762" s="12"/>
      <c r="H1762" s="12"/>
      <c r="N1762" s="31"/>
      <c r="O1762" s="31"/>
      <c r="P1762" s="30"/>
      <c r="Q1762" s="30"/>
      <c r="R1762" s="30"/>
    </row>
    <row r="1763" spans="6:18" s="1" customFormat="1" x14ac:dyDescent="0.3">
      <c r="F1763" s="12"/>
      <c r="H1763" s="12"/>
      <c r="N1763" s="31"/>
      <c r="O1763" s="31"/>
      <c r="P1763" s="30"/>
      <c r="Q1763" s="30"/>
      <c r="R1763" s="30"/>
    </row>
    <row r="1764" spans="6:18" s="1" customFormat="1" x14ac:dyDescent="0.3">
      <c r="F1764" s="12"/>
      <c r="H1764" s="12"/>
      <c r="N1764" s="31"/>
      <c r="O1764" s="31"/>
      <c r="P1764" s="30"/>
      <c r="Q1764" s="30"/>
      <c r="R1764" s="30"/>
    </row>
    <row r="1765" spans="6:18" s="1" customFormat="1" x14ac:dyDescent="0.3">
      <c r="F1765" s="12"/>
      <c r="H1765" s="12"/>
      <c r="N1765" s="31"/>
      <c r="O1765" s="31"/>
      <c r="P1765" s="30"/>
      <c r="Q1765" s="30"/>
      <c r="R1765" s="30"/>
    </row>
    <row r="1766" spans="6:18" s="1" customFormat="1" x14ac:dyDescent="0.3">
      <c r="F1766" s="12"/>
      <c r="H1766" s="12"/>
      <c r="N1766" s="31"/>
      <c r="O1766" s="31"/>
      <c r="P1766" s="30"/>
      <c r="Q1766" s="30"/>
      <c r="R1766" s="30"/>
    </row>
    <row r="1767" spans="6:18" s="1" customFormat="1" x14ac:dyDescent="0.3">
      <c r="F1767" s="12"/>
      <c r="H1767" s="12"/>
      <c r="N1767" s="31"/>
      <c r="O1767" s="31"/>
      <c r="P1767" s="30"/>
      <c r="Q1767" s="30"/>
      <c r="R1767" s="30"/>
    </row>
    <row r="1768" spans="6:18" s="1" customFormat="1" x14ac:dyDescent="0.3">
      <c r="F1768" s="12"/>
      <c r="H1768" s="12"/>
      <c r="N1768" s="31"/>
      <c r="O1768" s="31"/>
      <c r="P1768" s="30"/>
      <c r="Q1768" s="30"/>
      <c r="R1768" s="30"/>
    </row>
    <row r="1769" spans="6:18" s="1" customFormat="1" x14ac:dyDescent="0.3">
      <c r="F1769" s="12"/>
      <c r="H1769" s="12"/>
      <c r="N1769" s="31"/>
      <c r="O1769" s="31"/>
      <c r="P1769" s="30"/>
      <c r="Q1769" s="30"/>
      <c r="R1769" s="30"/>
    </row>
    <row r="1770" spans="6:18" s="1" customFormat="1" x14ac:dyDescent="0.3">
      <c r="F1770" s="12"/>
      <c r="H1770" s="12"/>
      <c r="N1770" s="31"/>
      <c r="O1770" s="31"/>
      <c r="P1770" s="30"/>
      <c r="Q1770" s="30"/>
      <c r="R1770" s="30"/>
    </row>
    <row r="1771" spans="6:18" s="1" customFormat="1" x14ac:dyDescent="0.3">
      <c r="F1771" s="12"/>
      <c r="H1771" s="12"/>
      <c r="N1771" s="31"/>
      <c r="O1771" s="31"/>
      <c r="P1771" s="30"/>
      <c r="Q1771" s="30"/>
      <c r="R1771" s="30"/>
    </row>
    <row r="1772" spans="6:18" s="1" customFormat="1" x14ac:dyDescent="0.3">
      <c r="F1772" s="12"/>
      <c r="H1772" s="12"/>
      <c r="N1772" s="31"/>
      <c r="O1772" s="31"/>
      <c r="P1772" s="30"/>
      <c r="Q1772" s="30"/>
      <c r="R1772" s="30"/>
    </row>
    <row r="1773" spans="6:18" s="1" customFormat="1" x14ac:dyDescent="0.3">
      <c r="F1773" s="12"/>
      <c r="H1773" s="12"/>
      <c r="N1773" s="31"/>
      <c r="O1773" s="31"/>
      <c r="P1773" s="30"/>
      <c r="Q1773" s="30"/>
      <c r="R1773" s="30"/>
    </row>
    <row r="1774" spans="6:18" s="1" customFormat="1" x14ac:dyDescent="0.3">
      <c r="F1774" s="12"/>
      <c r="H1774" s="12"/>
      <c r="N1774" s="31"/>
      <c r="O1774" s="31"/>
      <c r="P1774" s="30"/>
      <c r="Q1774" s="30"/>
      <c r="R1774" s="30"/>
    </row>
    <row r="1775" spans="6:18" s="1" customFormat="1" x14ac:dyDescent="0.3">
      <c r="F1775" s="12"/>
      <c r="H1775" s="12"/>
      <c r="N1775" s="31"/>
      <c r="O1775" s="31"/>
      <c r="P1775" s="30"/>
      <c r="Q1775" s="30"/>
      <c r="R1775" s="30"/>
    </row>
    <row r="1776" spans="6:18" s="1" customFormat="1" x14ac:dyDescent="0.3">
      <c r="F1776" s="12"/>
      <c r="H1776" s="12"/>
      <c r="N1776" s="31"/>
      <c r="O1776" s="31"/>
      <c r="P1776" s="30"/>
      <c r="Q1776" s="30"/>
      <c r="R1776" s="30"/>
    </row>
    <row r="1777" spans="6:18" s="1" customFormat="1" x14ac:dyDescent="0.3">
      <c r="F1777" s="12"/>
      <c r="H1777" s="12"/>
      <c r="N1777" s="31"/>
      <c r="O1777" s="31"/>
      <c r="P1777" s="30"/>
      <c r="Q1777" s="30"/>
      <c r="R1777" s="30"/>
    </row>
    <row r="1778" spans="6:18" s="1" customFormat="1" x14ac:dyDescent="0.3">
      <c r="F1778" s="12"/>
      <c r="H1778" s="12"/>
      <c r="N1778" s="31"/>
      <c r="O1778" s="31"/>
      <c r="P1778" s="30"/>
      <c r="Q1778" s="30"/>
      <c r="R1778" s="30"/>
    </row>
    <row r="1779" spans="6:18" s="1" customFormat="1" x14ac:dyDescent="0.3">
      <c r="F1779" s="12"/>
      <c r="H1779" s="12"/>
      <c r="N1779" s="31"/>
      <c r="O1779" s="31"/>
      <c r="P1779" s="30"/>
      <c r="Q1779" s="30"/>
      <c r="R1779" s="30"/>
    </row>
    <row r="1780" spans="6:18" s="1" customFormat="1" x14ac:dyDescent="0.3">
      <c r="F1780" s="12"/>
      <c r="H1780" s="12"/>
      <c r="N1780" s="31"/>
      <c r="O1780" s="31"/>
      <c r="P1780" s="30"/>
      <c r="Q1780" s="30"/>
      <c r="R1780" s="30"/>
    </row>
    <row r="1781" spans="6:18" s="1" customFormat="1" x14ac:dyDescent="0.3">
      <c r="F1781" s="12"/>
      <c r="H1781" s="12"/>
      <c r="N1781" s="31"/>
      <c r="O1781" s="31"/>
      <c r="P1781" s="30"/>
      <c r="Q1781" s="30"/>
      <c r="R1781" s="30"/>
    </row>
    <row r="1782" spans="6:18" s="1" customFormat="1" x14ac:dyDescent="0.3">
      <c r="F1782" s="12"/>
      <c r="H1782" s="12"/>
      <c r="N1782" s="31"/>
      <c r="O1782" s="31"/>
      <c r="P1782" s="30"/>
      <c r="Q1782" s="30"/>
      <c r="R1782" s="30"/>
    </row>
    <row r="1783" spans="6:18" s="1" customFormat="1" x14ac:dyDescent="0.3">
      <c r="F1783" s="12"/>
      <c r="H1783" s="12"/>
      <c r="N1783" s="31"/>
      <c r="O1783" s="31"/>
      <c r="P1783" s="30"/>
      <c r="Q1783" s="30"/>
      <c r="R1783" s="30"/>
    </row>
    <row r="1784" spans="6:18" s="1" customFormat="1" x14ac:dyDescent="0.3">
      <c r="F1784" s="12"/>
      <c r="H1784" s="12"/>
      <c r="N1784" s="31"/>
      <c r="O1784" s="31"/>
      <c r="P1784" s="30"/>
      <c r="Q1784" s="30"/>
      <c r="R1784" s="30"/>
    </row>
    <row r="1785" spans="6:18" s="1" customFormat="1" x14ac:dyDescent="0.3">
      <c r="F1785" s="12"/>
      <c r="H1785" s="12"/>
      <c r="N1785" s="31"/>
      <c r="O1785" s="31"/>
      <c r="P1785" s="30"/>
      <c r="Q1785" s="30"/>
      <c r="R1785" s="30"/>
    </row>
    <row r="1786" spans="6:18" s="1" customFormat="1" x14ac:dyDescent="0.3">
      <c r="F1786" s="12"/>
      <c r="H1786" s="12"/>
      <c r="N1786" s="31"/>
      <c r="O1786" s="31"/>
      <c r="P1786" s="30"/>
      <c r="Q1786" s="30"/>
      <c r="R1786" s="30"/>
    </row>
    <row r="1787" spans="6:18" s="1" customFormat="1" x14ac:dyDescent="0.3">
      <c r="F1787" s="12"/>
      <c r="H1787" s="12"/>
      <c r="N1787" s="31"/>
      <c r="O1787" s="31"/>
      <c r="P1787" s="30"/>
      <c r="Q1787" s="30"/>
      <c r="R1787" s="30"/>
    </row>
    <row r="1788" spans="6:18" s="1" customFormat="1" x14ac:dyDescent="0.3">
      <c r="F1788" s="12"/>
      <c r="H1788" s="12"/>
      <c r="N1788" s="31"/>
      <c r="O1788" s="31"/>
      <c r="P1788" s="30"/>
      <c r="Q1788" s="30"/>
      <c r="R1788" s="30"/>
    </row>
    <row r="1789" spans="6:18" s="1" customFormat="1" x14ac:dyDescent="0.3">
      <c r="F1789" s="12"/>
      <c r="H1789" s="12"/>
      <c r="N1789" s="31"/>
      <c r="O1789" s="31"/>
      <c r="P1789" s="30"/>
      <c r="Q1789" s="30"/>
      <c r="R1789" s="30"/>
    </row>
    <row r="1790" spans="6:18" s="1" customFormat="1" x14ac:dyDescent="0.3">
      <c r="F1790" s="12"/>
      <c r="H1790" s="12"/>
      <c r="N1790" s="31"/>
      <c r="O1790" s="31"/>
      <c r="P1790" s="30"/>
      <c r="Q1790" s="30"/>
      <c r="R1790" s="30"/>
    </row>
    <row r="1791" spans="6:18" s="1" customFormat="1" x14ac:dyDescent="0.3">
      <c r="F1791" s="12"/>
      <c r="H1791" s="12"/>
      <c r="N1791" s="31"/>
      <c r="O1791" s="31"/>
      <c r="P1791" s="30"/>
      <c r="Q1791" s="30"/>
      <c r="R1791" s="30"/>
    </row>
    <row r="1792" spans="6:18" s="1" customFormat="1" x14ac:dyDescent="0.3">
      <c r="F1792" s="12"/>
      <c r="H1792" s="12"/>
      <c r="N1792" s="31"/>
      <c r="O1792" s="31"/>
      <c r="P1792" s="30"/>
      <c r="Q1792" s="30"/>
      <c r="R1792" s="30"/>
    </row>
    <row r="1793" spans="6:18" s="1" customFormat="1" x14ac:dyDescent="0.3">
      <c r="F1793" s="12"/>
      <c r="H1793" s="12"/>
      <c r="N1793" s="31"/>
      <c r="O1793" s="31"/>
      <c r="P1793" s="30"/>
      <c r="Q1793" s="30"/>
      <c r="R1793" s="30"/>
    </row>
    <row r="1794" spans="6:18" s="1" customFormat="1" x14ac:dyDescent="0.3">
      <c r="F1794" s="12"/>
      <c r="H1794" s="12"/>
      <c r="N1794" s="31"/>
      <c r="O1794" s="31"/>
      <c r="P1794" s="30"/>
      <c r="Q1794" s="30"/>
      <c r="R1794" s="30"/>
    </row>
    <row r="1795" spans="6:18" s="1" customFormat="1" x14ac:dyDescent="0.3">
      <c r="F1795" s="12"/>
      <c r="H1795" s="12"/>
      <c r="N1795" s="31"/>
      <c r="O1795" s="31"/>
      <c r="P1795" s="30"/>
      <c r="Q1795" s="30"/>
      <c r="R1795" s="30"/>
    </row>
    <row r="1796" spans="6:18" s="1" customFormat="1" x14ac:dyDescent="0.3">
      <c r="F1796" s="12"/>
      <c r="H1796" s="12"/>
      <c r="N1796" s="31"/>
      <c r="O1796" s="31"/>
      <c r="P1796" s="30"/>
      <c r="Q1796" s="30"/>
      <c r="R1796" s="30"/>
    </row>
    <row r="1797" spans="6:18" s="1" customFormat="1" x14ac:dyDescent="0.3">
      <c r="F1797" s="12"/>
      <c r="H1797" s="12"/>
      <c r="N1797" s="31"/>
      <c r="O1797" s="31"/>
      <c r="P1797" s="30"/>
      <c r="Q1797" s="30"/>
      <c r="R1797" s="30"/>
    </row>
    <row r="1798" spans="6:18" s="1" customFormat="1" x14ac:dyDescent="0.3">
      <c r="F1798" s="12"/>
      <c r="H1798" s="12"/>
      <c r="N1798" s="31"/>
      <c r="O1798" s="31"/>
      <c r="P1798" s="30"/>
      <c r="Q1798" s="30"/>
      <c r="R1798" s="30"/>
    </row>
    <row r="1799" spans="6:18" s="1" customFormat="1" x14ac:dyDescent="0.3">
      <c r="F1799" s="12"/>
      <c r="H1799" s="12"/>
      <c r="N1799" s="31"/>
      <c r="O1799" s="31"/>
      <c r="P1799" s="30"/>
      <c r="Q1799" s="30"/>
      <c r="R1799" s="30"/>
    </row>
    <row r="1800" spans="6:18" s="1" customFormat="1" x14ac:dyDescent="0.3">
      <c r="F1800" s="12"/>
      <c r="H1800" s="12"/>
      <c r="N1800" s="31"/>
      <c r="O1800" s="31"/>
      <c r="P1800" s="30"/>
      <c r="Q1800" s="30"/>
      <c r="R1800" s="30"/>
    </row>
    <row r="1801" spans="6:18" s="1" customFormat="1" x14ac:dyDescent="0.3">
      <c r="F1801" s="12"/>
      <c r="H1801" s="12"/>
      <c r="N1801" s="31"/>
      <c r="O1801" s="31"/>
      <c r="P1801" s="30"/>
      <c r="Q1801" s="30"/>
      <c r="R1801" s="30"/>
    </row>
    <row r="1802" spans="6:18" s="1" customFormat="1" x14ac:dyDescent="0.3">
      <c r="F1802" s="12"/>
      <c r="H1802" s="12"/>
      <c r="N1802" s="31"/>
      <c r="O1802" s="31"/>
      <c r="P1802" s="30"/>
      <c r="Q1802" s="30"/>
      <c r="R1802" s="30"/>
    </row>
    <row r="1803" spans="6:18" s="1" customFormat="1" x14ac:dyDescent="0.3">
      <c r="F1803" s="12"/>
      <c r="H1803" s="12"/>
      <c r="N1803" s="31"/>
      <c r="O1803" s="31"/>
      <c r="P1803" s="30"/>
      <c r="Q1803" s="30"/>
      <c r="R1803" s="30"/>
    </row>
    <row r="1804" spans="6:18" s="1" customFormat="1" x14ac:dyDescent="0.3">
      <c r="F1804" s="12"/>
      <c r="H1804" s="12"/>
      <c r="N1804" s="31"/>
      <c r="O1804" s="31"/>
      <c r="P1804" s="30"/>
      <c r="Q1804" s="30"/>
      <c r="R1804" s="30"/>
    </row>
    <row r="1805" spans="6:18" s="1" customFormat="1" x14ac:dyDescent="0.3">
      <c r="F1805" s="12"/>
      <c r="H1805" s="12"/>
      <c r="N1805" s="31"/>
      <c r="O1805" s="31"/>
      <c r="P1805" s="30"/>
      <c r="Q1805" s="30"/>
      <c r="R1805" s="30"/>
    </row>
    <row r="1806" spans="6:18" s="1" customFormat="1" x14ac:dyDescent="0.3">
      <c r="F1806" s="12"/>
      <c r="H1806" s="12"/>
      <c r="N1806" s="31"/>
      <c r="O1806" s="31"/>
      <c r="P1806" s="30"/>
      <c r="Q1806" s="30"/>
      <c r="R1806" s="30"/>
    </row>
    <row r="1807" spans="6:18" s="1" customFormat="1" x14ac:dyDescent="0.3">
      <c r="F1807" s="12"/>
      <c r="H1807" s="12"/>
      <c r="N1807" s="31"/>
      <c r="O1807" s="31"/>
      <c r="P1807" s="30"/>
      <c r="Q1807" s="30"/>
      <c r="R1807" s="30"/>
    </row>
    <row r="1808" spans="6:18" s="1" customFormat="1" x14ac:dyDescent="0.3">
      <c r="F1808" s="12"/>
      <c r="H1808" s="12"/>
      <c r="N1808" s="31"/>
      <c r="O1808" s="31"/>
      <c r="P1808" s="30"/>
      <c r="Q1808" s="30"/>
      <c r="R1808" s="30"/>
    </row>
    <row r="1809" spans="6:18" s="1" customFormat="1" x14ac:dyDescent="0.3">
      <c r="F1809" s="12"/>
      <c r="H1809" s="12"/>
      <c r="N1809" s="31"/>
      <c r="O1809" s="31"/>
      <c r="P1809" s="30"/>
      <c r="Q1809" s="30"/>
      <c r="R1809" s="30"/>
    </row>
    <row r="1810" spans="6:18" s="1" customFormat="1" x14ac:dyDescent="0.3">
      <c r="F1810" s="12"/>
      <c r="H1810" s="12"/>
      <c r="N1810" s="31"/>
      <c r="O1810" s="31"/>
      <c r="P1810" s="30"/>
      <c r="Q1810" s="30"/>
      <c r="R1810" s="30"/>
    </row>
    <row r="1811" spans="6:18" s="1" customFormat="1" x14ac:dyDescent="0.3">
      <c r="F1811" s="12"/>
      <c r="H1811" s="12"/>
      <c r="N1811" s="31"/>
      <c r="O1811" s="31"/>
      <c r="P1811" s="30"/>
      <c r="Q1811" s="30"/>
      <c r="R1811" s="30"/>
    </row>
    <row r="1812" spans="6:18" s="1" customFormat="1" x14ac:dyDescent="0.3">
      <c r="F1812" s="12"/>
      <c r="H1812" s="12"/>
      <c r="N1812" s="31"/>
      <c r="O1812" s="31"/>
      <c r="P1812" s="30"/>
      <c r="Q1812" s="30"/>
      <c r="R1812" s="30"/>
    </row>
    <row r="1813" spans="6:18" s="1" customFormat="1" x14ac:dyDescent="0.3">
      <c r="F1813" s="12"/>
      <c r="H1813" s="12"/>
      <c r="N1813" s="31"/>
      <c r="O1813" s="31"/>
      <c r="P1813" s="30"/>
      <c r="Q1813" s="30"/>
      <c r="R1813" s="30"/>
    </row>
    <row r="1814" spans="6:18" s="1" customFormat="1" x14ac:dyDescent="0.3">
      <c r="F1814" s="12"/>
      <c r="H1814" s="12"/>
      <c r="N1814" s="31"/>
      <c r="O1814" s="31"/>
      <c r="P1814" s="30"/>
      <c r="Q1814" s="30"/>
      <c r="R1814" s="30"/>
    </row>
    <row r="1815" spans="6:18" s="1" customFormat="1" x14ac:dyDescent="0.3">
      <c r="F1815" s="12"/>
      <c r="H1815" s="12"/>
      <c r="N1815" s="31"/>
      <c r="O1815" s="31"/>
      <c r="P1815" s="30"/>
      <c r="Q1815" s="30"/>
      <c r="R1815" s="30"/>
    </row>
    <row r="1816" spans="6:18" s="1" customFormat="1" x14ac:dyDescent="0.3">
      <c r="F1816" s="12"/>
      <c r="H1816" s="12"/>
      <c r="N1816" s="31"/>
      <c r="O1816" s="31"/>
      <c r="P1816" s="30"/>
      <c r="Q1816" s="30"/>
      <c r="R1816" s="30"/>
    </row>
    <row r="1817" spans="6:18" s="1" customFormat="1" x14ac:dyDescent="0.3">
      <c r="F1817" s="12"/>
      <c r="H1817" s="12"/>
      <c r="N1817" s="31"/>
      <c r="O1817" s="31"/>
      <c r="P1817" s="30"/>
      <c r="Q1817" s="30"/>
      <c r="R1817" s="30"/>
    </row>
    <row r="1818" spans="6:18" s="1" customFormat="1" x14ac:dyDescent="0.3">
      <c r="F1818" s="12"/>
      <c r="H1818" s="12"/>
      <c r="N1818" s="31"/>
      <c r="O1818" s="31"/>
      <c r="P1818" s="30"/>
      <c r="Q1818" s="30"/>
      <c r="R1818" s="30"/>
    </row>
    <row r="1819" spans="6:18" s="1" customFormat="1" x14ac:dyDescent="0.3">
      <c r="F1819" s="12"/>
      <c r="H1819" s="12"/>
      <c r="N1819" s="31"/>
      <c r="O1819" s="31"/>
      <c r="P1819" s="30"/>
      <c r="Q1819" s="30"/>
      <c r="R1819" s="30"/>
    </row>
    <row r="1820" spans="6:18" s="1" customFormat="1" x14ac:dyDescent="0.3">
      <c r="F1820" s="12"/>
      <c r="H1820" s="12"/>
      <c r="N1820" s="31"/>
      <c r="O1820" s="31"/>
      <c r="P1820" s="30"/>
      <c r="Q1820" s="30"/>
      <c r="R1820" s="30"/>
    </row>
    <row r="1821" spans="6:18" s="1" customFormat="1" x14ac:dyDescent="0.3">
      <c r="F1821" s="12"/>
      <c r="H1821" s="12"/>
      <c r="N1821" s="31"/>
      <c r="O1821" s="31"/>
      <c r="P1821" s="30"/>
      <c r="Q1821" s="30"/>
      <c r="R1821" s="30"/>
    </row>
    <row r="1822" spans="6:18" s="1" customFormat="1" x14ac:dyDescent="0.3">
      <c r="F1822" s="12"/>
      <c r="H1822" s="12"/>
      <c r="N1822" s="31"/>
      <c r="O1822" s="31"/>
      <c r="P1822" s="30"/>
      <c r="Q1822" s="30"/>
      <c r="R1822" s="30"/>
    </row>
    <row r="1823" spans="6:18" s="1" customFormat="1" x14ac:dyDescent="0.3">
      <c r="F1823" s="12"/>
      <c r="H1823" s="12"/>
      <c r="N1823" s="31"/>
      <c r="O1823" s="31"/>
      <c r="P1823" s="30"/>
      <c r="Q1823" s="30"/>
      <c r="R1823" s="30"/>
    </row>
    <row r="1824" spans="6:18" s="1" customFormat="1" x14ac:dyDescent="0.3">
      <c r="F1824" s="12"/>
      <c r="H1824" s="12"/>
      <c r="N1824" s="31"/>
      <c r="O1824" s="31"/>
      <c r="P1824" s="30"/>
      <c r="Q1824" s="30"/>
      <c r="R1824" s="30"/>
    </row>
    <row r="1825" spans="6:18" s="1" customFormat="1" x14ac:dyDescent="0.3">
      <c r="F1825" s="12"/>
      <c r="H1825" s="12"/>
      <c r="N1825" s="31"/>
      <c r="O1825" s="31"/>
      <c r="P1825" s="30"/>
      <c r="Q1825" s="30"/>
      <c r="R1825" s="30"/>
    </row>
    <row r="1826" spans="6:18" s="1" customFormat="1" x14ac:dyDescent="0.3">
      <c r="F1826" s="12"/>
      <c r="H1826" s="12"/>
      <c r="N1826" s="31"/>
      <c r="O1826" s="31"/>
      <c r="P1826" s="30"/>
      <c r="Q1826" s="30"/>
      <c r="R1826" s="30"/>
    </row>
    <row r="1827" spans="6:18" s="1" customFormat="1" x14ac:dyDescent="0.3">
      <c r="F1827" s="12"/>
      <c r="H1827" s="12"/>
      <c r="N1827" s="31"/>
      <c r="O1827" s="31"/>
      <c r="P1827" s="30"/>
      <c r="Q1827" s="30"/>
      <c r="R1827" s="30"/>
    </row>
    <row r="1828" spans="6:18" s="1" customFormat="1" x14ac:dyDescent="0.3">
      <c r="F1828" s="12"/>
      <c r="H1828" s="12"/>
      <c r="N1828" s="31"/>
      <c r="O1828" s="31"/>
      <c r="P1828" s="30"/>
      <c r="Q1828" s="30"/>
      <c r="R1828" s="30"/>
    </row>
    <row r="1829" spans="6:18" s="1" customFormat="1" x14ac:dyDescent="0.3">
      <c r="F1829" s="12"/>
      <c r="H1829" s="12"/>
      <c r="N1829" s="31"/>
      <c r="O1829" s="31"/>
      <c r="P1829" s="30"/>
      <c r="Q1829" s="30"/>
      <c r="R1829" s="30"/>
    </row>
    <row r="1830" spans="6:18" s="1" customFormat="1" x14ac:dyDescent="0.3">
      <c r="F1830" s="12"/>
      <c r="H1830" s="12"/>
      <c r="N1830" s="31"/>
      <c r="O1830" s="31"/>
      <c r="P1830" s="30"/>
      <c r="Q1830" s="30"/>
      <c r="R1830" s="30"/>
    </row>
    <row r="1831" spans="6:18" s="1" customFormat="1" x14ac:dyDescent="0.3">
      <c r="F1831" s="12"/>
      <c r="H1831" s="12"/>
      <c r="N1831" s="31"/>
      <c r="O1831" s="31"/>
      <c r="P1831" s="30"/>
      <c r="Q1831" s="30"/>
      <c r="R1831" s="30"/>
    </row>
    <row r="1832" spans="6:18" s="1" customFormat="1" x14ac:dyDescent="0.3">
      <c r="F1832" s="12"/>
      <c r="H1832" s="12"/>
      <c r="N1832" s="31"/>
      <c r="O1832" s="31"/>
      <c r="P1832" s="30"/>
      <c r="Q1832" s="30"/>
      <c r="R1832" s="30"/>
    </row>
    <row r="1833" spans="6:18" s="1" customFormat="1" x14ac:dyDescent="0.3">
      <c r="F1833" s="12"/>
      <c r="H1833" s="12"/>
      <c r="N1833" s="31"/>
      <c r="O1833" s="31"/>
      <c r="P1833" s="30"/>
      <c r="Q1833" s="30"/>
      <c r="R1833" s="30"/>
    </row>
    <row r="1834" spans="6:18" s="1" customFormat="1" x14ac:dyDescent="0.3">
      <c r="F1834" s="12"/>
      <c r="H1834" s="12"/>
      <c r="N1834" s="31"/>
      <c r="O1834" s="31"/>
      <c r="P1834" s="30"/>
      <c r="Q1834" s="30"/>
      <c r="R1834" s="30"/>
    </row>
    <row r="1835" spans="6:18" s="1" customFormat="1" x14ac:dyDescent="0.3">
      <c r="F1835" s="12"/>
      <c r="H1835" s="12"/>
      <c r="N1835" s="31"/>
      <c r="O1835" s="31"/>
      <c r="P1835" s="30"/>
      <c r="Q1835" s="30"/>
      <c r="R1835" s="30"/>
    </row>
    <row r="1836" spans="6:18" s="1" customFormat="1" x14ac:dyDescent="0.3">
      <c r="F1836" s="12"/>
      <c r="H1836" s="12"/>
      <c r="N1836" s="31"/>
      <c r="O1836" s="31"/>
      <c r="P1836" s="30"/>
      <c r="Q1836" s="30"/>
      <c r="R1836" s="30"/>
    </row>
    <row r="1837" spans="6:18" s="1" customFormat="1" x14ac:dyDescent="0.3">
      <c r="F1837" s="12"/>
      <c r="H1837" s="12"/>
      <c r="N1837" s="31"/>
      <c r="O1837" s="31"/>
      <c r="P1837" s="30"/>
      <c r="Q1837" s="30"/>
      <c r="R1837" s="30"/>
    </row>
    <row r="1838" spans="6:18" s="1" customFormat="1" x14ac:dyDescent="0.3">
      <c r="F1838" s="12"/>
      <c r="H1838" s="12"/>
      <c r="N1838" s="31"/>
      <c r="O1838" s="31"/>
      <c r="P1838" s="30"/>
      <c r="Q1838" s="30"/>
      <c r="R1838" s="30"/>
    </row>
    <row r="1839" spans="6:18" s="1" customFormat="1" x14ac:dyDescent="0.3">
      <c r="F1839" s="12"/>
      <c r="H1839" s="12"/>
      <c r="N1839" s="31"/>
      <c r="O1839" s="31"/>
      <c r="P1839" s="30"/>
      <c r="Q1839" s="30"/>
      <c r="R1839" s="30"/>
    </row>
    <row r="1840" spans="6:18" s="1" customFormat="1" x14ac:dyDescent="0.3">
      <c r="F1840" s="12"/>
      <c r="H1840" s="12"/>
      <c r="N1840" s="31"/>
      <c r="O1840" s="31"/>
      <c r="P1840" s="30"/>
      <c r="Q1840" s="30"/>
      <c r="R1840" s="30"/>
    </row>
    <row r="1841" spans="6:18" s="1" customFormat="1" x14ac:dyDescent="0.3">
      <c r="F1841" s="12"/>
      <c r="H1841" s="12"/>
      <c r="N1841" s="31"/>
      <c r="O1841" s="31"/>
      <c r="P1841" s="30"/>
      <c r="Q1841" s="30"/>
      <c r="R1841" s="30"/>
    </row>
    <row r="1842" spans="6:18" s="1" customFormat="1" x14ac:dyDescent="0.3">
      <c r="F1842" s="12"/>
      <c r="H1842" s="12"/>
      <c r="N1842" s="31"/>
      <c r="O1842" s="31"/>
      <c r="P1842" s="30"/>
      <c r="Q1842" s="30"/>
      <c r="R1842" s="30"/>
    </row>
    <row r="1843" spans="6:18" s="1" customFormat="1" x14ac:dyDescent="0.3">
      <c r="F1843" s="12"/>
      <c r="H1843" s="12"/>
      <c r="N1843" s="31"/>
      <c r="O1843" s="31"/>
      <c r="P1843" s="30"/>
      <c r="Q1843" s="30"/>
      <c r="R1843" s="30"/>
    </row>
    <row r="1844" spans="6:18" s="1" customFormat="1" x14ac:dyDescent="0.3">
      <c r="F1844" s="12"/>
      <c r="H1844" s="12"/>
      <c r="N1844" s="31"/>
      <c r="O1844" s="31"/>
      <c r="P1844" s="30"/>
      <c r="Q1844" s="30"/>
      <c r="R1844" s="30"/>
    </row>
    <row r="1845" spans="6:18" s="1" customFormat="1" x14ac:dyDescent="0.3">
      <c r="F1845" s="12"/>
      <c r="H1845" s="12"/>
      <c r="N1845" s="31"/>
      <c r="O1845" s="31"/>
      <c r="P1845" s="30"/>
      <c r="Q1845" s="30"/>
      <c r="R1845" s="30"/>
    </row>
    <row r="1846" spans="6:18" s="1" customFormat="1" x14ac:dyDescent="0.3">
      <c r="F1846" s="12"/>
      <c r="H1846" s="12"/>
      <c r="N1846" s="31"/>
      <c r="O1846" s="31"/>
      <c r="P1846" s="30"/>
      <c r="Q1846" s="30"/>
      <c r="R1846" s="30"/>
    </row>
    <row r="1847" spans="6:18" s="1" customFormat="1" x14ac:dyDescent="0.3">
      <c r="F1847" s="12"/>
      <c r="H1847" s="12"/>
      <c r="N1847" s="31"/>
      <c r="O1847" s="31"/>
      <c r="P1847" s="30"/>
      <c r="Q1847" s="30"/>
      <c r="R1847" s="30"/>
    </row>
    <row r="1848" spans="6:18" s="1" customFormat="1" x14ac:dyDescent="0.3">
      <c r="F1848" s="12"/>
      <c r="H1848" s="12"/>
      <c r="N1848" s="31"/>
      <c r="O1848" s="31"/>
      <c r="P1848" s="30"/>
      <c r="Q1848" s="30"/>
      <c r="R1848" s="30"/>
    </row>
    <row r="1849" spans="6:18" s="1" customFormat="1" x14ac:dyDescent="0.3">
      <c r="F1849" s="12"/>
      <c r="H1849" s="12"/>
      <c r="N1849" s="31"/>
      <c r="O1849" s="31"/>
      <c r="P1849" s="30"/>
      <c r="Q1849" s="30"/>
      <c r="R1849" s="30"/>
    </row>
    <row r="1850" spans="6:18" s="1" customFormat="1" x14ac:dyDescent="0.3">
      <c r="F1850" s="12"/>
      <c r="H1850" s="12"/>
      <c r="N1850" s="31"/>
      <c r="O1850" s="31"/>
      <c r="P1850" s="30"/>
      <c r="Q1850" s="30"/>
      <c r="R1850" s="30"/>
    </row>
    <row r="1851" spans="6:18" s="1" customFormat="1" x14ac:dyDescent="0.3">
      <c r="F1851" s="12"/>
      <c r="H1851" s="12"/>
      <c r="N1851" s="31"/>
      <c r="O1851" s="31"/>
      <c r="P1851" s="30"/>
      <c r="Q1851" s="30"/>
      <c r="R1851" s="30"/>
    </row>
    <row r="1852" spans="6:18" s="1" customFormat="1" x14ac:dyDescent="0.3">
      <c r="F1852" s="12"/>
      <c r="H1852" s="12"/>
      <c r="N1852" s="31"/>
      <c r="O1852" s="31"/>
      <c r="P1852" s="30"/>
      <c r="Q1852" s="30"/>
      <c r="R1852" s="30"/>
    </row>
    <row r="1853" spans="6:18" s="1" customFormat="1" x14ac:dyDescent="0.3">
      <c r="F1853" s="12"/>
      <c r="H1853" s="12"/>
      <c r="N1853" s="31"/>
      <c r="O1853" s="31"/>
      <c r="P1853" s="30"/>
      <c r="Q1853" s="30"/>
      <c r="R1853" s="30"/>
    </row>
    <row r="1854" spans="6:18" s="1" customFormat="1" x14ac:dyDescent="0.3">
      <c r="F1854" s="12"/>
      <c r="H1854" s="12"/>
      <c r="N1854" s="31"/>
      <c r="O1854" s="31"/>
      <c r="P1854" s="30"/>
      <c r="Q1854" s="30"/>
      <c r="R1854" s="30"/>
    </row>
    <row r="1855" spans="6:18" s="1" customFormat="1" x14ac:dyDescent="0.3">
      <c r="F1855" s="12"/>
      <c r="H1855" s="12"/>
      <c r="N1855" s="31"/>
      <c r="O1855" s="31"/>
      <c r="P1855" s="30"/>
      <c r="Q1855" s="30"/>
      <c r="R1855" s="30"/>
    </row>
    <row r="1856" spans="6:18" s="1" customFormat="1" x14ac:dyDescent="0.3">
      <c r="F1856" s="12"/>
      <c r="H1856" s="12"/>
      <c r="N1856" s="31"/>
      <c r="O1856" s="31"/>
      <c r="P1856" s="30"/>
      <c r="Q1856" s="30"/>
      <c r="R1856" s="30"/>
    </row>
    <row r="1857" spans="6:18" s="1" customFormat="1" x14ac:dyDescent="0.3">
      <c r="F1857" s="12"/>
      <c r="H1857" s="12"/>
      <c r="N1857" s="31"/>
      <c r="O1857" s="31"/>
      <c r="P1857" s="30"/>
      <c r="Q1857" s="30"/>
      <c r="R1857" s="30"/>
    </row>
    <row r="1858" spans="6:18" s="1" customFormat="1" x14ac:dyDescent="0.3">
      <c r="F1858" s="12"/>
      <c r="H1858" s="12"/>
      <c r="N1858" s="31"/>
      <c r="O1858" s="31"/>
      <c r="P1858" s="30"/>
      <c r="Q1858" s="30"/>
      <c r="R1858" s="30"/>
    </row>
    <row r="1859" spans="6:18" s="1" customFormat="1" x14ac:dyDescent="0.3">
      <c r="F1859" s="12"/>
      <c r="H1859" s="12"/>
      <c r="N1859" s="31"/>
      <c r="O1859" s="31"/>
      <c r="P1859" s="30"/>
      <c r="Q1859" s="30"/>
      <c r="R1859" s="30"/>
    </row>
    <row r="1860" spans="6:18" s="1" customFormat="1" x14ac:dyDescent="0.3">
      <c r="F1860" s="12"/>
      <c r="H1860" s="12"/>
      <c r="N1860" s="31"/>
      <c r="O1860" s="31"/>
      <c r="P1860" s="30"/>
      <c r="Q1860" s="30"/>
      <c r="R1860" s="30"/>
    </row>
    <row r="1861" spans="6:18" s="1" customFormat="1" x14ac:dyDescent="0.3">
      <c r="F1861" s="12"/>
      <c r="H1861" s="12"/>
      <c r="N1861" s="31"/>
      <c r="O1861" s="31"/>
      <c r="P1861" s="30"/>
      <c r="Q1861" s="30"/>
      <c r="R1861" s="30"/>
    </row>
    <row r="1862" spans="6:18" s="1" customFormat="1" x14ac:dyDescent="0.3">
      <c r="F1862" s="12"/>
      <c r="H1862" s="12"/>
      <c r="N1862" s="31"/>
      <c r="O1862" s="31"/>
      <c r="P1862" s="30"/>
      <c r="Q1862" s="30"/>
      <c r="R1862" s="30"/>
    </row>
    <row r="1863" spans="6:18" s="1" customFormat="1" x14ac:dyDescent="0.3">
      <c r="F1863" s="12"/>
      <c r="H1863" s="12"/>
      <c r="N1863" s="31"/>
      <c r="O1863" s="31"/>
      <c r="P1863" s="30"/>
      <c r="Q1863" s="30"/>
      <c r="R1863" s="30"/>
    </row>
    <row r="1864" spans="6:18" s="1" customFormat="1" x14ac:dyDescent="0.3">
      <c r="F1864" s="12"/>
      <c r="H1864" s="12"/>
      <c r="N1864" s="31"/>
      <c r="O1864" s="31"/>
      <c r="P1864" s="30"/>
      <c r="Q1864" s="30"/>
      <c r="R1864" s="30"/>
    </row>
    <row r="1865" spans="6:18" s="1" customFormat="1" x14ac:dyDescent="0.3">
      <c r="F1865" s="12"/>
      <c r="H1865" s="12"/>
      <c r="N1865" s="31"/>
      <c r="O1865" s="31"/>
      <c r="P1865" s="30"/>
      <c r="Q1865" s="30"/>
      <c r="R1865" s="30"/>
    </row>
    <row r="1866" spans="6:18" s="1" customFormat="1" x14ac:dyDescent="0.3">
      <c r="F1866" s="12"/>
      <c r="H1866" s="12"/>
      <c r="N1866" s="31"/>
      <c r="O1866" s="31"/>
      <c r="P1866" s="30"/>
      <c r="Q1866" s="30"/>
      <c r="R1866" s="30"/>
    </row>
    <row r="1867" spans="6:18" s="1" customFormat="1" x14ac:dyDescent="0.3">
      <c r="F1867" s="12"/>
      <c r="H1867" s="12"/>
      <c r="N1867" s="31"/>
      <c r="O1867" s="31"/>
      <c r="P1867" s="30"/>
      <c r="Q1867" s="30"/>
      <c r="R1867" s="30"/>
    </row>
    <row r="1868" spans="6:18" s="1" customFormat="1" x14ac:dyDescent="0.3">
      <c r="F1868" s="12"/>
      <c r="H1868" s="12"/>
      <c r="N1868" s="31"/>
      <c r="O1868" s="31"/>
      <c r="P1868" s="30"/>
      <c r="Q1868" s="30"/>
      <c r="R1868" s="30"/>
    </row>
    <row r="1869" spans="6:18" s="1" customFormat="1" x14ac:dyDescent="0.3">
      <c r="F1869" s="12"/>
      <c r="H1869" s="12"/>
      <c r="N1869" s="31"/>
      <c r="O1869" s="31"/>
      <c r="P1869" s="30"/>
      <c r="Q1869" s="30"/>
      <c r="R1869" s="30"/>
    </row>
    <row r="1870" spans="6:18" s="1" customFormat="1" x14ac:dyDescent="0.3">
      <c r="F1870" s="12"/>
      <c r="H1870" s="12"/>
      <c r="N1870" s="31"/>
      <c r="O1870" s="31"/>
      <c r="P1870" s="30"/>
      <c r="Q1870" s="30"/>
      <c r="R1870" s="30"/>
    </row>
    <row r="1871" spans="6:18" s="1" customFormat="1" x14ac:dyDescent="0.3">
      <c r="F1871" s="12"/>
      <c r="H1871" s="12"/>
      <c r="N1871" s="31"/>
      <c r="O1871" s="31"/>
      <c r="P1871" s="30"/>
      <c r="Q1871" s="30"/>
      <c r="R1871" s="30"/>
    </row>
    <row r="1872" spans="6:18" s="1" customFormat="1" x14ac:dyDescent="0.3">
      <c r="F1872" s="12"/>
      <c r="H1872" s="12"/>
      <c r="N1872" s="31"/>
      <c r="O1872" s="31"/>
      <c r="P1872" s="30"/>
      <c r="Q1872" s="30"/>
      <c r="R1872" s="30"/>
    </row>
    <row r="1873" spans="6:18" s="1" customFormat="1" x14ac:dyDescent="0.3">
      <c r="F1873" s="12"/>
      <c r="H1873" s="12"/>
      <c r="N1873" s="31"/>
      <c r="O1873" s="31"/>
      <c r="P1873" s="30"/>
      <c r="Q1873" s="30"/>
      <c r="R1873" s="30"/>
    </row>
    <row r="1874" spans="6:18" s="1" customFormat="1" x14ac:dyDescent="0.3">
      <c r="F1874" s="12"/>
      <c r="H1874" s="12"/>
      <c r="N1874" s="31"/>
      <c r="O1874" s="31"/>
      <c r="P1874" s="30"/>
      <c r="Q1874" s="30"/>
      <c r="R1874" s="30"/>
    </row>
    <row r="1875" spans="6:18" s="1" customFormat="1" x14ac:dyDescent="0.3">
      <c r="F1875" s="12"/>
      <c r="H1875" s="12"/>
      <c r="N1875" s="31"/>
      <c r="O1875" s="31"/>
      <c r="P1875" s="30"/>
      <c r="Q1875" s="30"/>
      <c r="R1875" s="30"/>
    </row>
    <row r="1876" spans="6:18" s="1" customFormat="1" x14ac:dyDescent="0.3">
      <c r="F1876" s="12"/>
      <c r="H1876" s="12"/>
      <c r="N1876" s="31"/>
      <c r="O1876" s="31"/>
      <c r="P1876" s="30"/>
      <c r="Q1876" s="30"/>
      <c r="R1876" s="30"/>
    </row>
    <row r="1877" spans="6:18" s="1" customFormat="1" x14ac:dyDescent="0.3">
      <c r="F1877" s="12"/>
      <c r="H1877" s="12"/>
      <c r="N1877" s="31"/>
      <c r="O1877" s="31"/>
      <c r="P1877" s="30"/>
      <c r="Q1877" s="30"/>
      <c r="R1877" s="30"/>
    </row>
    <row r="1878" spans="6:18" s="1" customFormat="1" x14ac:dyDescent="0.3">
      <c r="F1878" s="12"/>
      <c r="H1878" s="12"/>
      <c r="N1878" s="31"/>
      <c r="O1878" s="31"/>
      <c r="P1878" s="30"/>
      <c r="Q1878" s="30"/>
      <c r="R1878" s="30"/>
    </row>
    <row r="1879" spans="6:18" s="1" customFormat="1" x14ac:dyDescent="0.3">
      <c r="F1879" s="12"/>
      <c r="H1879" s="12"/>
      <c r="N1879" s="31"/>
      <c r="O1879" s="31"/>
      <c r="P1879" s="30"/>
      <c r="Q1879" s="30"/>
      <c r="R1879" s="30"/>
    </row>
    <row r="1880" spans="6:18" s="1" customFormat="1" x14ac:dyDescent="0.3">
      <c r="F1880" s="12"/>
      <c r="H1880" s="12"/>
      <c r="N1880" s="31"/>
      <c r="O1880" s="31"/>
      <c r="P1880" s="30"/>
      <c r="Q1880" s="30"/>
      <c r="R1880" s="30"/>
    </row>
    <row r="1881" spans="6:18" s="1" customFormat="1" x14ac:dyDescent="0.3">
      <c r="F1881" s="12"/>
      <c r="H1881" s="12"/>
      <c r="N1881" s="31"/>
      <c r="O1881" s="31"/>
      <c r="P1881" s="30"/>
      <c r="Q1881" s="30"/>
      <c r="R1881" s="30"/>
    </row>
    <row r="1882" spans="6:18" s="1" customFormat="1" x14ac:dyDescent="0.3">
      <c r="F1882" s="12"/>
      <c r="H1882" s="12"/>
      <c r="N1882" s="31"/>
      <c r="O1882" s="31"/>
      <c r="P1882" s="30"/>
      <c r="Q1882" s="30"/>
      <c r="R1882" s="30"/>
    </row>
    <row r="1883" spans="6:18" s="1" customFormat="1" x14ac:dyDescent="0.3">
      <c r="F1883" s="12"/>
      <c r="H1883" s="12"/>
      <c r="N1883" s="31"/>
      <c r="O1883" s="31"/>
      <c r="P1883" s="30"/>
      <c r="Q1883" s="30"/>
      <c r="R1883" s="30"/>
    </row>
    <row r="1884" spans="6:18" s="1" customFormat="1" x14ac:dyDescent="0.3">
      <c r="F1884" s="12"/>
      <c r="H1884" s="12"/>
      <c r="N1884" s="31"/>
      <c r="O1884" s="31"/>
      <c r="P1884" s="30"/>
      <c r="Q1884" s="30"/>
      <c r="R1884" s="30"/>
    </row>
    <row r="1885" spans="6:18" s="1" customFormat="1" x14ac:dyDescent="0.3">
      <c r="F1885" s="12"/>
      <c r="H1885" s="12"/>
      <c r="N1885" s="31"/>
      <c r="O1885" s="31"/>
      <c r="P1885" s="30"/>
      <c r="Q1885" s="30"/>
      <c r="R1885" s="30"/>
    </row>
    <row r="1886" spans="6:18" s="1" customFormat="1" x14ac:dyDescent="0.3">
      <c r="F1886" s="12"/>
      <c r="H1886" s="12"/>
      <c r="N1886" s="31"/>
      <c r="O1886" s="31"/>
      <c r="P1886" s="30"/>
      <c r="Q1886" s="30"/>
      <c r="R1886" s="30"/>
    </row>
    <row r="1887" spans="6:18" s="1" customFormat="1" x14ac:dyDescent="0.3">
      <c r="F1887" s="12"/>
      <c r="H1887" s="12"/>
      <c r="N1887" s="31"/>
      <c r="O1887" s="31"/>
      <c r="P1887" s="30"/>
      <c r="Q1887" s="30"/>
      <c r="R1887" s="30"/>
    </row>
    <row r="1888" spans="6:18" s="1" customFormat="1" x14ac:dyDescent="0.3">
      <c r="F1888" s="12"/>
      <c r="H1888" s="12"/>
      <c r="N1888" s="31"/>
      <c r="O1888" s="31"/>
      <c r="P1888" s="30"/>
      <c r="Q1888" s="30"/>
      <c r="R1888" s="30"/>
    </row>
    <row r="1889" spans="6:18" s="1" customFormat="1" x14ac:dyDescent="0.3">
      <c r="F1889" s="12"/>
      <c r="H1889" s="12"/>
      <c r="N1889" s="31"/>
      <c r="O1889" s="31"/>
      <c r="P1889" s="30"/>
      <c r="Q1889" s="30"/>
      <c r="R1889" s="30"/>
    </row>
    <row r="1890" spans="6:18" s="1" customFormat="1" x14ac:dyDescent="0.3">
      <c r="F1890" s="12"/>
      <c r="H1890" s="12"/>
      <c r="N1890" s="31"/>
      <c r="O1890" s="31"/>
      <c r="P1890" s="30"/>
      <c r="Q1890" s="30"/>
      <c r="R1890" s="30"/>
    </row>
    <row r="1891" spans="6:18" s="1" customFormat="1" x14ac:dyDescent="0.3">
      <c r="F1891" s="12"/>
      <c r="H1891" s="12"/>
      <c r="N1891" s="31"/>
      <c r="O1891" s="31"/>
      <c r="P1891" s="30"/>
      <c r="Q1891" s="30"/>
      <c r="R1891" s="30"/>
    </row>
    <row r="1892" spans="6:18" s="1" customFormat="1" x14ac:dyDescent="0.3">
      <c r="F1892" s="12"/>
      <c r="H1892" s="12"/>
      <c r="N1892" s="31"/>
      <c r="O1892" s="31"/>
      <c r="P1892" s="30"/>
      <c r="Q1892" s="30"/>
      <c r="R1892" s="30"/>
    </row>
    <row r="1893" spans="6:18" s="1" customFormat="1" x14ac:dyDescent="0.3">
      <c r="F1893" s="12"/>
      <c r="H1893" s="12"/>
      <c r="N1893" s="31"/>
      <c r="O1893" s="31"/>
      <c r="P1893" s="30"/>
      <c r="Q1893" s="30"/>
      <c r="R1893" s="30"/>
    </row>
    <row r="1894" spans="6:18" s="1" customFormat="1" x14ac:dyDescent="0.3">
      <c r="F1894" s="12"/>
      <c r="H1894" s="12"/>
      <c r="N1894" s="31"/>
      <c r="O1894" s="31"/>
      <c r="P1894" s="30"/>
      <c r="Q1894" s="30"/>
      <c r="R1894" s="30"/>
    </row>
    <row r="1895" spans="6:18" s="1" customFormat="1" x14ac:dyDescent="0.3">
      <c r="F1895" s="12"/>
      <c r="H1895" s="12"/>
      <c r="N1895" s="31"/>
      <c r="O1895" s="31"/>
      <c r="P1895" s="30"/>
      <c r="Q1895" s="30"/>
      <c r="R1895" s="30"/>
    </row>
    <row r="1896" spans="6:18" s="1" customFormat="1" x14ac:dyDescent="0.3">
      <c r="F1896" s="12"/>
      <c r="H1896" s="12"/>
      <c r="N1896" s="31"/>
      <c r="O1896" s="31"/>
      <c r="P1896" s="30"/>
      <c r="Q1896" s="30"/>
      <c r="R1896" s="30"/>
    </row>
    <row r="1897" spans="6:18" s="1" customFormat="1" x14ac:dyDescent="0.3">
      <c r="F1897" s="12"/>
      <c r="H1897" s="12"/>
      <c r="N1897" s="31"/>
      <c r="O1897" s="31"/>
      <c r="P1897" s="30"/>
      <c r="Q1897" s="30"/>
      <c r="R1897" s="30"/>
    </row>
    <row r="1898" spans="6:18" s="1" customFormat="1" x14ac:dyDescent="0.3">
      <c r="F1898" s="12"/>
      <c r="H1898" s="12"/>
      <c r="N1898" s="31"/>
      <c r="O1898" s="31"/>
      <c r="P1898" s="30"/>
      <c r="Q1898" s="30"/>
      <c r="R1898" s="30"/>
    </row>
    <row r="1899" spans="6:18" s="1" customFormat="1" x14ac:dyDescent="0.3">
      <c r="F1899" s="12"/>
      <c r="H1899" s="12"/>
      <c r="N1899" s="31"/>
      <c r="O1899" s="31"/>
      <c r="P1899" s="30"/>
      <c r="Q1899" s="30"/>
      <c r="R1899" s="30"/>
    </row>
    <row r="1900" spans="6:18" s="1" customFormat="1" x14ac:dyDescent="0.3">
      <c r="F1900" s="12"/>
      <c r="H1900" s="12"/>
      <c r="N1900" s="31"/>
      <c r="O1900" s="31"/>
      <c r="P1900" s="30"/>
      <c r="Q1900" s="30"/>
      <c r="R1900" s="30"/>
    </row>
    <row r="1901" spans="6:18" s="1" customFormat="1" x14ac:dyDescent="0.3">
      <c r="F1901" s="12"/>
      <c r="H1901" s="12"/>
      <c r="N1901" s="31"/>
      <c r="O1901" s="31"/>
      <c r="P1901" s="30"/>
      <c r="Q1901" s="30"/>
      <c r="R1901" s="30"/>
    </row>
    <row r="1902" spans="6:18" s="1" customFormat="1" x14ac:dyDescent="0.3">
      <c r="F1902" s="12"/>
      <c r="H1902" s="12"/>
      <c r="N1902" s="31"/>
      <c r="O1902" s="31"/>
      <c r="P1902" s="30"/>
      <c r="Q1902" s="30"/>
      <c r="R1902" s="30"/>
    </row>
    <row r="1903" spans="6:18" s="1" customFormat="1" x14ac:dyDescent="0.3">
      <c r="F1903" s="12"/>
      <c r="H1903" s="12"/>
      <c r="N1903" s="31"/>
      <c r="O1903" s="31"/>
      <c r="P1903" s="30"/>
      <c r="Q1903" s="30"/>
      <c r="R1903" s="30"/>
    </row>
    <row r="1904" spans="6:18" s="1" customFormat="1" x14ac:dyDescent="0.3">
      <c r="F1904" s="12"/>
      <c r="H1904" s="12"/>
      <c r="N1904" s="31"/>
      <c r="O1904" s="31"/>
      <c r="P1904" s="30"/>
      <c r="Q1904" s="30"/>
      <c r="R1904" s="30"/>
    </row>
    <row r="1905" spans="6:18" s="1" customFormat="1" x14ac:dyDescent="0.3">
      <c r="F1905" s="12"/>
      <c r="H1905" s="12"/>
      <c r="N1905" s="31"/>
      <c r="O1905" s="31"/>
      <c r="P1905" s="30"/>
      <c r="Q1905" s="30"/>
      <c r="R1905" s="30"/>
    </row>
    <row r="1906" spans="6:18" s="1" customFormat="1" x14ac:dyDescent="0.3">
      <c r="F1906" s="12"/>
      <c r="H1906" s="12"/>
      <c r="N1906" s="31"/>
      <c r="O1906" s="31"/>
      <c r="P1906" s="30"/>
      <c r="Q1906" s="30"/>
      <c r="R1906" s="30"/>
    </row>
    <row r="1907" spans="6:18" s="1" customFormat="1" x14ac:dyDescent="0.3">
      <c r="F1907" s="12"/>
      <c r="H1907" s="12"/>
      <c r="N1907" s="31"/>
      <c r="O1907" s="31"/>
      <c r="P1907" s="30"/>
      <c r="Q1907" s="30"/>
      <c r="R1907" s="30"/>
    </row>
    <row r="1908" spans="6:18" s="1" customFormat="1" x14ac:dyDescent="0.3">
      <c r="F1908" s="12"/>
      <c r="H1908" s="12"/>
      <c r="N1908" s="31"/>
      <c r="O1908" s="31"/>
      <c r="P1908" s="30"/>
      <c r="Q1908" s="30"/>
      <c r="R1908" s="30"/>
    </row>
    <row r="1909" spans="6:18" s="1" customFormat="1" x14ac:dyDescent="0.3">
      <c r="F1909" s="12"/>
      <c r="H1909" s="12"/>
      <c r="N1909" s="31"/>
      <c r="O1909" s="31"/>
      <c r="P1909" s="30"/>
      <c r="Q1909" s="30"/>
      <c r="R1909" s="30"/>
    </row>
    <row r="1910" spans="6:18" s="1" customFormat="1" x14ac:dyDescent="0.3">
      <c r="F1910" s="12"/>
      <c r="H1910" s="12"/>
      <c r="N1910" s="31"/>
      <c r="O1910" s="31"/>
      <c r="P1910" s="30"/>
      <c r="Q1910" s="30"/>
      <c r="R1910" s="30"/>
    </row>
    <row r="1911" spans="6:18" s="1" customFormat="1" x14ac:dyDescent="0.3">
      <c r="F1911" s="12"/>
      <c r="H1911" s="12"/>
      <c r="N1911" s="31"/>
      <c r="O1911" s="31"/>
      <c r="P1911" s="30"/>
      <c r="Q1911" s="30"/>
      <c r="R1911" s="30"/>
    </row>
    <row r="1912" spans="6:18" s="1" customFormat="1" x14ac:dyDescent="0.3">
      <c r="F1912" s="12"/>
      <c r="H1912" s="12"/>
      <c r="N1912" s="31"/>
      <c r="O1912" s="31"/>
      <c r="P1912" s="30"/>
      <c r="Q1912" s="30"/>
      <c r="R1912" s="30"/>
    </row>
    <row r="1913" spans="6:18" s="1" customFormat="1" x14ac:dyDescent="0.3">
      <c r="F1913" s="12"/>
      <c r="H1913" s="12"/>
      <c r="N1913" s="31"/>
      <c r="O1913" s="31"/>
      <c r="P1913" s="30"/>
      <c r="Q1913" s="30"/>
      <c r="R1913" s="30"/>
    </row>
    <row r="1914" spans="6:18" s="1" customFormat="1" x14ac:dyDescent="0.3">
      <c r="F1914" s="12"/>
      <c r="H1914" s="12"/>
      <c r="N1914" s="31"/>
      <c r="O1914" s="31"/>
      <c r="P1914" s="30"/>
      <c r="Q1914" s="30"/>
      <c r="R1914" s="30"/>
    </row>
    <row r="1915" spans="6:18" s="1" customFormat="1" x14ac:dyDescent="0.3">
      <c r="F1915" s="12"/>
      <c r="H1915" s="12"/>
      <c r="N1915" s="31"/>
      <c r="O1915" s="31"/>
      <c r="P1915" s="30"/>
      <c r="Q1915" s="30"/>
      <c r="R1915" s="30"/>
    </row>
    <row r="1916" spans="6:18" s="1" customFormat="1" x14ac:dyDescent="0.3">
      <c r="F1916" s="12"/>
      <c r="H1916" s="12"/>
      <c r="N1916" s="31"/>
      <c r="O1916" s="31"/>
      <c r="P1916" s="30"/>
      <c r="Q1916" s="30"/>
      <c r="R1916" s="30"/>
    </row>
    <row r="1917" spans="6:18" s="1" customFormat="1" x14ac:dyDescent="0.3">
      <c r="F1917" s="12"/>
      <c r="H1917" s="12"/>
      <c r="N1917" s="31"/>
      <c r="O1917" s="31"/>
      <c r="P1917" s="30"/>
      <c r="Q1917" s="30"/>
      <c r="R1917" s="30"/>
    </row>
    <row r="1918" spans="6:18" s="1" customFormat="1" x14ac:dyDescent="0.3">
      <c r="F1918" s="12"/>
      <c r="H1918" s="12"/>
      <c r="N1918" s="31"/>
      <c r="O1918" s="31"/>
      <c r="P1918" s="30"/>
      <c r="Q1918" s="30"/>
      <c r="R1918" s="30"/>
    </row>
    <row r="1919" spans="6:18" s="1" customFormat="1" x14ac:dyDescent="0.3">
      <c r="F1919" s="12"/>
      <c r="H1919" s="12"/>
      <c r="N1919" s="31"/>
      <c r="O1919" s="31"/>
      <c r="P1919" s="30"/>
      <c r="Q1919" s="30"/>
      <c r="R1919" s="30"/>
    </row>
    <row r="1920" spans="6:18" s="1" customFormat="1" x14ac:dyDescent="0.3">
      <c r="F1920" s="12"/>
      <c r="H1920" s="12"/>
      <c r="N1920" s="31"/>
      <c r="O1920" s="31"/>
      <c r="P1920" s="30"/>
      <c r="Q1920" s="30"/>
      <c r="R1920" s="30"/>
    </row>
    <row r="1921" spans="6:18" s="1" customFormat="1" x14ac:dyDescent="0.3">
      <c r="F1921" s="12"/>
      <c r="H1921" s="12"/>
      <c r="N1921" s="31"/>
      <c r="O1921" s="31"/>
      <c r="P1921" s="30"/>
      <c r="Q1921" s="30"/>
      <c r="R1921" s="30"/>
    </row>
    <row r="1922" spans="6:18" s="1" customFormat="1" x14ac:dyDescent="0.3">
      <c r="F1922" s="12"/>
      <c r="H1922" s="12"/>
      <c r="N1922" s="31"/>
      <c r="O1922" s="31"/>
      <c r="P1922" s="30"/>
      <c r="Q1922" s="30"/>
      <c r="R1922" s="30"/>
    </row>
    <row r="1923" spans="6:18" s="1" customFormat="1" x14ac:dyDescent="0.3">
      <c r="F1923" s="12"/>
      <c r="H1923" s="12"/>
      <c r="N1923" s="31"/>
      <c r="O1923" s="31"/>
      <c r="P1923" s="30"/>
      <c r="Q1923" s="30"/>
      <c r="R1923" s="30"/>
    </row>
    <row r="1924" spans="6:18" s="1" customFormat="1" x14ac:dyDescent="0.3">
      <c r="F1924" s="12"/>
      <c r="H1924" s="12"/>
      <c r="N1924" s="31"/>
      <c r="O1924" s="31"/>
      <c r="P1924" s="30"/>
      <c r="Q1924" s="30"/>
      <c r="R1924" s="30"/>
    </row>
    <row r="1925" spans="6:18" s="1" customFormat="1" x14ac:dyDescent="0.3">
      <c r="F1925" s="12"/>
      <c r="H1925" s="12"/>
      <c r="N1925" s="31"/>
      <c r="O1925" s="31"/>
      <c r="P1925" s="30"/>
      <c r="Q1925" s="30"/>
      <c r="R1925" s="30"/>
    </row>
    <row r="1926" spans="6:18" s="1" customFormat="1" x14ac:dyDescent="0.3">
      <c r="F1926" s="12"/>
      <c r="H1926" s="12"/>
      <c r="N1926" s="31"/>
      <c r="O1926" s="31"/>
      <c r="P1926" s="30"/>
      <c r="Q1926" s="30"/>
      <c r="R1926" s="30"/>
    </row>
    <row r="1927" spans="6:18" s="1" customFormat="1" x14ac:dyDescent="0.3">
      <c r="F1927" s="12"/>
      <c r="H1927" s="12"/>
      <c r="N1927" s="31"/>
      <c r="O1927" s="31"/>
      <c r="P1927" s="30"/>
      <c r="Q1927" s="30"/>
      <c r="R1927" s="30"/>
    </row>
    <row r="1928" spans="6:18" s="1" customFormat="1" x14ac:dyDescent="0.3">
      <c r="F1928" s="12"/>
      <c r="H1928" s="12"/>
      <c r="N1928" s="31"/>
      <c r="O1928" s="31"/>
      <c r="P1928" s="30"/>
      <c r="Q1928" s="30"/>
      <c r="R1928" s="30"/>
    </row>
    <row r="1929" spans="6:18" s="1" customFormat="1" x14ac:dyDescent="0.3">
      <c r="F1929" s="12"/>
      <c r="H1929" s="12"/>
      <c r="N1929" s="31"/>
      <c r="O1929" s="31"/>
      <c r="P1929" s="30"/>
      <c r="Q1929" s="30"/>
      <c r="R1929" s="30"/>
    </row>
    <row r="1930" spans="6:18" s="1" customFormat="1" x14ac:dyDescent="0.3">
      <c r="F1930" s="12"/>
      <c r="H1930" s="12"/>
      <c r="N1930" s="31"/>
      <c r="O1930" s="31"/>
      <c r="P1930" s="30"/>
      <c r="Q1930" s="30"/>
      <c r="R1930" s="30"/>
    </row>
    <row r="1931" spans="6:18" s="1" customFormat="1" x14ac:dyDescent="0.3">
      <c r="F1931" s="12"/>
      <c r="H1931" s="12"/>
      <c r="N1931" s="31"/>
      <c r="O1931" s="31"/>
      <c r="P1931" s="30"/>
      <c r="Q1931" s="30"/>
      <c r="R1931" s="30"/>
    </row>
    <row r="1932" spans="6:18" s="1" customFormat="1" x14ac:dyDescent="0.3">
      <c r="F1932" s="12"/>
      <c r="H1932" s="12"/>
      <c r="N1932" s="31"/>
      <c r="O1932" s="31"/>
      <c r="P1932" s="30"/>
      <c r="Q1932" s="30"/>
      <c r="R1932" s="30"/>
    </row>
    <row r="1933" spans="6:18" s="1" customFormat="1" x14ac:dyDescent="0.3">
      <c r="F1933" s="12"/>
      <c r="H1933" s="12"/>
      <c r="N1933" s="31"/>
      <c r="O1933" s="31"/>
      <c r="P1933" s="30"/>
      <c r="Q1933" s="30"/>
      <c r="R1933" s="30"/>
    </row>
    <row r="1934" spans="6:18" s="1" customFormat="1" x14ac:dyDescent="0.3">
      <c r="F1934" s="12"/>
      <c r="H1934" s="12"/>
      <c r="N1934" s="31"/>
      <c r="O1934" s="31"/>
      <c r="P1934" s="30"/>
      <c r="Q1934" s="30"/>
      <c r="R1934" s="30"/>
    </row>
    <row r="1935" spans="6:18" s="1" customFormat="1" x14ac:dyDescent="0.3">
      <c r="F1935" s="12"/>
      <c r="H1935" s="12"/>
      <c r="N1935" s="31"/>
      <c r="O1935" s="31"/>
      <c r="P1935" s="30"/>
      <c r="Q1935" s="30"/>
      <c r="R1935" s="30"/>
    </row>
    <row r="1936" spans="6:18" s="1" customFormat="1" x14ac:dyDescent="0.3">
      <c r="F1936" s="12"/>
      <c r="H1936" s="12"/>
      <c r="N1936" s="31"/>
      <c r="O1936" s="31"/>
      <c r="P1936" s="30"/>
      <c r="Q1936" s="30"/>
      <c r="R1936" s="30"/>
    </row>
    <row r="1937" spans="6:18" s="1" customFormat="1" x14ac:dyDescent="0.3">
      <c r="F1937" s="12"/>
      <c r="H1937" s="12"/>
      <c r="N1937" s="31"/>
      <c r="O1937" s="31"/>
      <c r="P1937" s="30"/>
      <c r="Q1937" s="30"/>
      <c r="R1937" s="30"/>
    </row>
    <row r="1938" spans="6:18" s="1" customFormat="1" x14ac:dyDescent="0.3">
      <c r="F1938" s="12"/>
      <c r="H1938" s="12"/>
      <c r="N1938" s="31"/>
      <c r="O1938" s="31"/>
      <c r="P1938" s="30"/>
      <c r="Q1938" s="30"/>
      <c r="R1938" s="30"/>
    </row>
    <row r="1939" spans="6:18" s="1" customFormat="1" x14ac:dyDescent="0.3">
      <c r="F1939" s="12"/>
      <c r="H1939" s="12"/>
      <c r="N1939" s="31"/>
      <c r="O1939" s="31"/>
      <c r="P1939" s="30"/>
      <c r="Q1939" s="30"/>
      <c r="R1939" s="30"/>
    </row>
    <row r="1940" spans="6:18" s="1" customFormat="1" x14ac:dyDescent="0.3">
      <c r="F1940" s="12"/>
      <c r="H1940" s="12"/>
      <c r="N1940" s="31"/>
      <c r="O1940" s="31"/>
      <c r="P1940" s="30"/>
      <c r="Q1940" s="30"/>
      <c r="R1940" s="30"/>
    </row>
    <row r="1941" spans="6:18" s="1" customFormat="1" x14ac:dyDescent="0.3">
      <c r="F1941" s="12"/>
      <c r="H1941" s="12"/>
      <c r="N1941" s="31"/>
      <c r="O1941" s="31"/>
      <c r="P1941" s="30"/>
      <c r="Q1941" s="30"/>
      <c r="R1941" s="30"/>
    </row>
    <row r="1942" spans="6:18" s="1" customFormat="1" x14ac:dyDescent="0.3">
      <c r="F1942" s="12"/>
      <c r="H1942" s="12"/>
      <c r="N1942" s="31"/>
      <c r="O1942" s="31"/>
      <c r="P1942" s="30"/>
      <c r="Q1942" s="30"/>
      <c r="R1942" s="30"/>
    </row>
    <row r="1943" spans="6:18" s="1" customFormat="1" x14ac:dyDescent="0.3">
      <c r="F1943" s="12"/>
      <c r="H1943" s="12"/>
      <c r="N1943" s="31"/>
      <c r="O1943" s="31"/>
      <c r="P1943" s="30"/>
      <c r="Q1943" s="30"/>
      <c r="R1943" s="30"/>
    </row>
    <row r="1944" spans="6:18" s="1" customFormat="1" x14ac:dyDescent="0.3">
      <c r="F1944" s="12"/>
      <c r="H1944" s="12"/>
      <c r="N1944" s="31"/>
      <c r="O1944" s="31"/>
      <c r="P1944" s="30"/>
      <c r="Q1944" s="30"/>
      <c r="R1944" s="30"/>
    </row>
    <row r="1945" spans="6:18" s="1" customFormat="1" x14ac:dyDescent="0.3">
      <c r="F1945" s="12"/>
      <c r="H1945" s="12"/>
      <c r="N1945" s="31"/>
      <c r="O1945" s="31"/>
      <c r="P1945" s="30"/>
      <c r="Q1945" s="30"/>
      <c r="R1945" s="30"/>
    </row>
    <row r="1946" spans="6:18" s="1" customFormat="1" x14ac:dyDescent="0.3">
      <c r="F1946" s="12"/>
      <c r="H1946" s="12"/>
      <c r="N1946" s="31"/>
      <c r="O1946" s="31"/>
      <c r="P1946" s="30"/>
      <c r="Q1946" s="30"/>
      <c r="R1946" s="30"/>
    </row>
    <row r="1947" spans="6:18" s="1" customFormat="1" x14ac:dyDescent="0.3">
      <c r="F1947" s="12"/>
      <c r="H1947" s="12"/>
      <c r="N1947" s="31"/>
      <c r="O1947" s="31"/>
      <c r="P1947" s="30"/>
      <c r="Q1947" s="30"/>
      <c r="R1947" s="30"/>
    </row>
    <row r="1948" spans="6:18" s="1" customFormat="1" x14ac:dyDescent="0.3">
      <c r="F1948" s="12"/>
      <c r="H1948" s="12"/>
      <c r="N1948" s="31"/>
      <c r="O1948" s="31"/>
      <c r="P1948" s="30"/>
      <c r="Q1948" s="30"/>
      <c r="R1948" s="30"/>
    </row>
    <row r="1949" spans="6:18" s="1" customFormat="1" x14ac:dyDescent="0.3">
      <c r="F1949" s="12"/>
      <c r="H1949" s="12"/>
      <c r="N1949" s="31"/>
      <c r="O1949" s="31"/>
      <c r="P1949" s="30"/>
      <c r="Q1949" s="30"/>
      <c r="R1949" s="30"/>
    </row>
    <row r="1950" spans="6:18" s="1" customFormat="1" x14ac:dyDescent="0.3">
      <c r="F1950" s="12"/>
      <c r="H1950" s="12"/>
      <c r="N1950" s="31"/>
      <c r="O1950" s="31"/>
      <c r="P1950" s="30"/>
      <c r="Q1950" s="30"/>
      <c r="R1950" s="30"/>
    </row>
    <row r="1951" spans="6:18" s="1" customFormat="1" x14ac:dyDescent="0.3">
      <c r="F1951" s="12"/>
      <c r="H1951" s="12"/>
      <c r="N1951" s="31"/>
      <c r="O1951" s="31"/>
      <c r="P1951" s="30"/>
      <c r="Q1951" s="30"/>
      <c r="R1951" s="30"/>
    </row>
    <row r="1952" spans="6:18" s="1" customFormat="1" x14ac:dyDescent="0.3">
      <c r="F1952" s="12"/>
      <c r="H1952" s="12"/>
      <c r="N1952" s="31"/>
      <c r="O1952" s="31"/>
      <c r="P1952" s="30"/>
      <c r="Q1952" s="30"/>
      <c r="R1952" s="30"/>
    </row>
    <row r="1953" spans="6:18" s="1" customFormat="1" x14ac:dyDescent="0.3">
      <c r="F1953" s="12"/>
      <c r="H1953" s="12"/>
      <c r="N1953" s="31"/>
      <c r="O1953" s="31"/>
      <c r="P1953" s="30"/>
      <c r="Q1953" s="30"/>
      <c r="R1953" s="30"/>
    </row>
    <row r="1954" spans="6:18" s="1" customFormat="1" x14ac:dyDescent="0.3">
      <c r="F1954" s="12"/>
      <c r="H1954" s="12"/>
      <c r="N1954" s="31"/>
      <c r="O1954" s="31"/>
      <c r="P1954" s="30"/>
      <c r="Q1954" s="30"/>
      <c r="R1954" s="30"/>
    </row>
    <row r="1955" spans="6:18" s="1" customFormat="1" x14ac:dyDescent="0.3">
      <c r="F1955" s="12"/>
      <c r="H1955" s="12"/>
      <c r="N1955" s="31"/>
      <c r="O1955" s="31"/>
      <c r="P1955" s="30"/>
      <c r="Q1955" s="30"/>
      <c r="R1955" s="30"/>
    </row>
    <row r="1956" spans="6:18" s="1" customFormat="1" x14ac:dyDescent="0.3">
      <c r="F1956" s="12"/>
      <c r="H1956" s="12"/>
      <c r="N1956" s="31"/>
      <c r="O1956" s="31"/>
      <c r="P1956" s="30"/>
      <c r="Q1956" s="30"/>
      <c r="R1956" s="30"/>
    </row>
    <row r="1957" spans="6:18" s="1" customFormat="1" x14ac:dyDescent="0.3">
      <c r="F1957" s="12"/>
      <c r="H1957" s="12"/>
      <c r="N1957" s="31"/>
      <c r="O1957" s="31"/>
      <c r="P1957" s="30"/>
      <c r="Q1957" s="30"/>
      <c r="R1957" s="30"/>
    </row>
    <row r="1958" spans="6:18" s="1" customFormat="1" x14ac:dyDescent="0.3">
      <c r="F1958" s="12"/>
      <c r="H1958" s="12"/>
      <c r="N1958" s="31"/>
      <c r="O1958" s="31"/>
      <c r="P1958" s="30"/>
      <c r="Q1958" s="30"/>
      <c r="R1958" s="30"/>
    </row>
    <row r="1959" spans="6:18" s="1" customFormat="1" x14ac:dyDescent="0.3">
      <c r="F1959" s="12"/>
      <c r="H1959" s="12"/>
      <c r="N1959" s="31"/>
      <c r="O1959" s="31"/>
      <c r="P1959" s="30"/>
      <c r="Q1959" s="30"/>
      <c r="R1959" s="30"/>
    </row>
    <row r="1960" spans="6:18" s="1" customFormat="1" x14ac:dyDescent="0.3">
      <c r="F1960" s="12"/>
      <c r="H1960" s="12"/>
      <c r="N1960" s="31"/>
      <c r="O1960" s="31"/>
      <c r="P1960" s="30"/>
      <c r="Q1960" s="30"/>
      <c r="R1960" s="30"/>
    </row>
    <row r="1961" spans="6:18" s="1" customFormat="1" x14ac:dyDescent="0.3">
      <c r="F1961" s="12"/>
      <c r="H1961" s="12"/>
      <c r="N1961" s="31"/>
      <c r="O1961" s="31"/>
      <c r="P1961" s="30"/>
      <c r="Q1961" s="30"/>
      <c r="R1961" s="30"/>
    </row>
    <row r="1962" spans="6:18" s="1" customFormat="1" x14ac:dyDescent="0.3">
      <c r="F1962" s="12"/>
      <c r="H1962" s="12"/>
      <c r="N1962" s="31"/>
      <c r="O1962" s="31"/>
      <c r="P1962" s="30"/>
      <c r="Q1962" s="30"/>
      <c r="R1962" s="30"/>
    </row>
    <row r="1963" spans="6:18" s="1" customFormat="1" x14ac:dyDescent="0.3">
      <c r="F1963" s="12"/>
      <c r="H1963" s="12"/>
      <c r="N1963" s="31"/>
      <c r="O1963" s="31"/>
      <c r="P1963" s="30"/>
      <c r="Q1963" s="30"/>
      <c r="R1963" s="30"/>
    </row>
    <row r="1964" spans="6:18" s="1" customFormat="1" x14ac:dyDescent="0.3">
      <c r="F1964" s="12"/>
      <c r="H1964" s="12"/>
      <c r="N1964" s="31"/>
      <c r="O1964" s="31"/>
      <c r="P1964" s="30"/>
      <c r="Q1964" s="30"/>
      <c r="R1964" s="30"/>
    </row>
    <row r="1965" spans="6:18" s="1" customFormat="1" x14ac:dyDescent="0.3">
      <c r="F1965" s="12"/>
      <c r="H1965" s="12"/>
      <c r="N1965" s="31"/>
      <c r="O1965" s="31"/>
      <c r="P1965" s="30"/>
      <c r="Q1965" s="30"/>
      <c r="R1965" s="30"/>
    </row>
    <row r="1966" spans="6:18" s="1" customFormat="1" x14ac:dyDescent="0.3">
      <c r="F1966" s="12"/>
      <c r="H1966" s="12"/>
      <c r="N1966" s="31"/>
      <c r="O1966" s="31"/>
      <c r="P1966" s="30"/>
      <c r="Q1966" s="30"/>
      <c r="R1966" s="30"/>
    </row>
    <row r="1967" spans="6:18" s="1" customFormat="1" x14ac:dyDescent="0.3">
      <c r="F1967" s="12"/>
      <c r="H1967" s="12"/>
      <c r="N1967" s="31"/>
      <c r="O1967" s="31"/>
      <c r="P1967" s="30"/>
      <c r="Q1967" s="30"/>
      <c r="R1967" s="30"/>
    </row>
    <row r="1968" spans="6:18" s="1" customFormat="1" x14ac:dyDescent="0.3">
      <c r="F1968" s="12"/>
      <c r="H1968" s="12"/>
      <c r="N1968" s="31"/>
      <c r="O1968" s="31"/>
      <c r="P1968" s="30"/>
      <c r="Q1968" s="30"/>
      <c r="R1968" s="30"/>
    </row>
    <row r="1969" spans="6:18" s="1" customFormat="1" x14ac:dyDescent="0.3">
      <c r="F1969" s="12"/>
      <c r="H1969" s="12"/>
      <c r="N1969" s="31"/>
      <c r="O1969" s="31"/>
      <c r="P1969" s="30"/>
      <c r="Q1969" s="30"/>
      <c r="R1969" s="30"/>
    </row>
    <row r="1970" spans="6:18" s="1" customFormat="1" x14ac:dyDescent="0.3">
      <c r="F1970" s="12"/>
      <c r="H1970" s="12"/>
      <c r="N1970" s="31"/>
      <c r="O1970" s="31"/>
      <c r="P1970" s="30"/>
      <c r="Q1970" s="30"/>
      <c r="R1970" s="30"/>
    </row>
    <row r="1971" spans="6:18" s="1" customFormat="1" x14ac:dyDescent="0.3">
      <c r="F1971" s="12"/>
      <c r="H1971" s="12"/>
      <c r="N1971" s="31"/>
      <c r="O1971" s="31"/>
      <c r="P1971" s="30"/>
      <c r="Q1971" s="30"/>
      <c r="R1971" s="30"/>
    </row>
    <row r="1972" spans="6:18" s="1" customFormat="1" x14ac:dyDescent="0.3">
      <c r="F1972" s="12"/>
      <c r="H1972" s="12"/>
      <c r="N1972" s="31"/>
      <c r="O1972" s="31"/>
      <c r="P1972" s="30"/>
      <c r="Q1972" s="30"/>
      <c r="R1972" s="30"/>
    </row>
    <row r="1973" spans="6:18" s="1" customFormat="1" x14ac:dyDescent="0.3">
      <c r="F1973" s="12"/>
      <c r="H1973" s="12"/>
      <c r="N1973" s="31"/>
      <c r="O1973" s="31"/>
      <c r="P1973" s="30"/>
      <c r="Q1973" s="30"/>
      <c r="R1973" s="30"/>
    </row>
    <row r="1974" spans="6:18" s="1" customFormat="1" x14ac:dyDescent="0.3">
      <c r="F1974" s="12"/>
      <c r="H1974" s="12"/>
      <c r="N1974" s="31"/>
      <c r="O1974" s="31"/>
      <c r="P1974" s="30"/>
      <c r="Q1974" s="30"/>
      <c r="R1974" s="30"/>
    </row>
    <row r="1975" spans="6:18" s="1" customFormat="1" x14ac:dyDescent="0.3">
      <c r="F1975" s="12"/>
      <c r="H1975" s="12"/>
      <c r="N1975" s="31"/>
      <c r="O1975" s="31"/>
      <c r="P1975" s="30"/>
      <c r="Q1975" s="30"/>
      <c r="R1975" s="30"/>
    </row>
    <row r="1976" spans="6:18" s="1" customFormat="1" x14ac:dyDescent="0.3">
      <c r="F1976" s="12"/>
      <c r="H1976" s="12"/>
      <c r="N1976" s="31"/>
      <c r="O1976" s="31"/>
      <c r="P1976" s="30"/>
      <c r="Q1976" s="30"/>
      <c r="R1976" s="30"/>
    </row>
    <row r="1977" spans="6:18" s="1" customFormat="1" x14ac:dyDescent="0.3">
      <c r="F1977" s="12"/>
      <c r="H1977" s="12"/>
      <c r="N1977" s="31"/>
      <c r="O1977" s="31"/>
      <c r="P1977" s="30"/>
      <c r="Q1977" s="30"/>
      <c r="R1977" s="30"/>
    </row>
    <row r="1978" spans="6:18" s="1" customFormat="1" x14ac:dyDescent="0.3">
      <c r="F1978" s="12"/>
      <c r="H1978" s="12"/>
      <c r="N1978" s="31"/>
      <c r="O1978" s="31"/>
      <c r="P1978" s="30"/>
      <c r="Q1978" s="30"/>
      <c r="R1978" s="30"/>
    </row>
    <row r="1979" spans="6:18" s="1" customFormat="1" x14ac:dyDescent="0.3">
      <c r="F1979" s="12"/>
      <c r="H1979" s="12"/>
      <c r="N1979" s="31"/>
      <c r="O1979" s="31"/>
      <c r="P1979" s="30"/>
      <c r="Q1979" s="30"/>
      <c r="R1979" s="30"/>
    </row>
    <row r="1980" spans="6:18" s="1" customFormat="1" x14ac:dyDescent="0.3">
      <c r="F1980" s="12"/>
      <c r="H1980" s="12"/>
      <c r="N1980" s="31"/>
      <c r="O1980" s="31"/>
      <c r="P1980" s="30"/>
      <c r="Q1980" s="30"/>
      <c r="R1980" s="30"/>
    </row>
    <row r="1981" spans="6:18" s="1" customFormat="1" x14ac:dyDescent="0.3">
      <c r="F1981" s="12"/>
      <c r="H1981" s="12"/>
      <c r="N1981" s="31"/>
      <c r="O1981" s="31"/>
      <c r="P1981" s="30"/>
      <c r="Q1981" s="30"/>
      <c r="R1981" s="30"/>
    </row>
    <row r="1982" spans="6:18" s="1" customFormat="1" x14ac:dyDescent="0.3">
      <c r="F1982" s="12"/>
      <c r="H1982" s="12"/>
      <c r="N1982" s="31"/>
      <c r="O1982" s="31"/>
      <c r="P1982" s="30"/>
      <c r="Q1982" s="30"/>
      <c r="R1982" s="30"/>
    </row>
    <row r="1983" spans="6:18" s="1" customFormat="1" x14ac:dyDescent="0.3">
      <c r="F1983" s="12"/>
      <c r="H1983" s="12"/>
      <c r="N1983" s="31"/>
      <c r="O1983" s="31"/>
      <c r="P1983" s="30"/>
      <c r="Q1983" s="30"/>
      <c r="R1983" s="30"/>
    </row>
    <row r="1984" spans="6:18" s="1" customFormat="1" x14ac:dyDescent="0.3">
      <c r="F1984" s="12"/>
      <c r="H1984" s="12"/>
      <c r="N1984" s="31"/>
      <c r="O1984" s="31"/>
      <c r="P1984" s="30"/>
      <c r="Q1984" s="30"/>
      <c r="R1984" s="30"/>
    </row>
    <row r="1985" spans="6:18" s="1" customFormat="1" x14ac:dyDescent="0.3">
      <c r="F1985" s="12"/>
      <c r="H1985" s="12"/>
      <c r="N1985" s="31"/>
      <c r="O1985" s="31"/>
      <c r="P1985" s="30"/>
      <c r="Q1985" s="30"/>
      <c r="R1985" s="30"/>
    </row>
    <row r="1986" spans="6:18" s="1" customFormat="1" x14ac:dyDescent="0.3">
      <c r="F1986" s="12"/>
      <c r="H1986" s="12"/>
      <c r="N1986" s="31"/>
      <c r="O1986" s="31"/>
      <c r="P1986" s="30"/>
      <c r="Q1986" s="30"/>
      <c r="R1986" s="30"/>
    </row>
    <row r="1987" spans="6:18" s="1" customFormat="1" x14ac:dyDescent="0.3">
      <c r="F1987" s="12"/>
      <c r="H1987" s="12"/>
      <c r="N1987" s="31"/>
      <c r="O1987" s="31"/>
      <c r="P1987" s="30"/>
      <c r="Q1987" s="30"/>
      <c r="R1987" s="30"/>
    </row>
    <row r="1988" spans="6:18" s="1" customFormat="1" x14ac:dyDescent="0.3">
      <c r="F1988" s="12"/>
      <c r="H1988" s="12"/>
      <c r="N1988" s="31"/>
      <c r="O1988" s="31"/>
      <c r="P1988" s="30"/>
      <c r="Q1988" s="30"/>
      <c r="R1988" s="30"/>
    </row>
    <row r="1989" spans="6:18" s="1" customFormat="1" x14ac:dyDescent="0.3">
      <c r="F1989" s="12"/>
      <c r="H1989" s="12"/>
      <c r="N1989" s="31"/>
      <c r="O1989" s="31"/>
      <c r="P1989" s="30"/>
      <c r="Q1989" s="30"/>
      <c r="R1989" s="30"/>
    </row>
    <row r="1990" spans="6:18" s="1" customFormat="1" x14ac:dyDescent="0.3">
      <c r="F1990" s="12"/>
      <c r="H1990" s="12"/>
      <c r="N1990" s="31"/>
      <c r="O1990" s="31"/>
      <c r="P1990" s="30"/>
      <c r="Q1990" s="30"/>
      <c r="R1990" s="30"/>
    </row>
    <row r="1991" spans="6:18" s="1" customFormat="1" x14ac:dyDescent="0.3">
      <c r="F1991" s="12"/>
      <c r="H1991" s="12"/>
      <c r="N1991" s="31"/>
      <c r="O1991" s="31"/>
      <c r="P1991" s="30"/>
      <c r="Q1991" s="30"/>
      <c r="R1991" s="30"/>
    </row>
    <row r="1992" spans="6:18" s="1" customFormat="1" x14ac:dyDescent="0.3">
      <c r="F1992" s="12"/>
      <c r="H1992" s="12"/>
      <c r="N1992" s="31"/>
      <c r="O1992" s="31"/>
      <c r="P1992" s="30"/>
      <c r="Q1992" s="30"/>
      <c r="R1992" s="30"/>
    </row>
    <row r="1993" spans="6:18" s="1" customFormat="1" x14ac:dyDescent="0.3">
      <c r="F1993" s="12"/>
      <c r="H1993" s="12"/>
      <c r="N1993" s="31"/>
      <c r="O1993" s="31"/>
      <c r="P1993" s="30"/>
      <c r="Q1993" s="30"/>
      <c r="R1993" s="30"/>
    </row>
    <row r="1994" spans="6:18" s="1" customFormat="1" x14ac:dyDescent="0.3">
      <c r="F1994" s="12"/>
      <c r="H1994" s="12"/>
      <c r="N1994" s="31"/>
      <c r="O1994" s="31"/>
      <c r="P1994" s="30"/>
      <c r="Q1994" s="30"/>
      <c r="R1994" s="30"/>
    </row>
    <row r="1995" spans="6:18" s="1" customFormat="1" x14ac:dyDescent="0.3">
      <c r="F1995" s="12"/>
      <c r="H1995" s="12"/>
      <c r="N1995" s="31"/>
      <c r="O1995" s="31"/>
      <c r="P1995" s="30"/>
      <c r="Q1995" s="30"/>
      <c r="R1995" s="30"/>
    </row>
    <row r="1996" spans="6:18" s="1" customFormat="1" x14ac:dyDescent="0.3">
      <c r="F1996" s="12"/>
      <c r="H1996" s="12"/>
      <c r="N1996" s="31"/>
      <c r="O1996" s="31"/>
      <c r="P1996" s="30"/>
      <c r="Q1996" s="30"/>
      <c r="R1996" s="30"/>
    </row>
    <row r="1997" spans="6:18" s="1" customFormat="1" x14ac:dyDescent="0.3">
      <c r="F1997" s="12"/>
      <c r="H1997" s="12"/>
      <c r="N1997" s="31"/>
      <c r="O1997" s="31"/>
      <c r="P1997" s="30"/>
      <c r="Q1997" s="30"/>
      <c r="R1997" s="30"/>
    </row>
    <row r="1998" spans="6:18" s="1" customFormat="1" x14ac:dyDescent="0.3">
      <c r="F1998" s="12"/>
      <c r="H1998" s="12"/>
      <c r="N1998" s="31"/>
      <c r="O1998" s="31"/>
      <c r="P1998" s="30"/>
      <c r="Q1998" s="30"/>
      <c r="R1998" s="30"/>
    </row>
    <row r="1999" spans="6:18" s="1" customFormat="1" x14ac:dyDescent="0.3">
      <c r="F1999" s="12"/>
      <c r="H1999" s="12"/>
      <c r="N1999" s="31"/>
      <c r="O1999" s="31"/>
      <c r="P1999" s="30"/>
      <c r="Q1999" s="30"/>
      <c r="R1999" s="30"/>
    </row>
    <row r="2000" spans="6:18" s="1" customFormat="1" x14ac:dyDescent="0.3">
      <c r="F2000" s="12"/>
      <c r="H2000" s="12"/>
      <c r="N2000" s="31"/>
      <c r="O2000" s="31"/>
      <c r="P2000" s="30"/>
      <c r="Q2000" s="30"/>
      <c r="R2000" s="30"/>
    </row>
    <row r="2001" spans="6:18" s="1" customFormat="1" x14ac:dyDescent="0.3">
      <c r="F2001" s="12"/>
      <c r="H2001" s="12"/>
      <c r="N2001" s="31"/>
      <c r="O2001" s="31"/>
      <c r="P2001" s="30"/>
      <c r="Q2001" s="30"/>
      <c r="R2001" s="30"/>
    </row>
    <row r="2002" spans="6:18" s="1" customFormat="1" x14ac:dyDescent="0.3">
      <c r="F2002" s="12"/>
      <c r="H2002" s="12"/>
      <c r="N2002" s="31"/>
      <c r="O2002" s="31"/>
      <c r="P2002" s="30"/>
      <c r="Q2002" s="30"/>
      <c r="R2002" s="30"/>
    </row>
    <row r="2003" spans="6:18" s="1" customFormat="1" x14ac:dyDescent="0.3">
      <c r="F2003" s="12"/>
      <c r="H2003" s="12"/>
      <c r="N2003" s="31"/>
      <c r="O2003" s="31"/>
      <c r="P2003" s="30"/>
      <c r="Q2003" s="30"/>
      <c r="R2003" s="30"/>
    </row>
    <row r="2004" spans="6:18" s="1" customFormat="1" x14ac:dyDescent="0.3">
      <c r="F2004" s="12"/>
      <c r="H2004" s="12"/>
      <c r="N2004" s="31"/>
      <c r="O2004" s="31"/>
      <c r="P2004" s="30"/>
      <c r="Q2004" s="30"/>
      <c r="R2004" s="30"/>
    </row>
    <row r="2005" spans="6:18" s="1" customFormat="1" x14ac:dyDescent="0.3">
      <c r="F2005" s="12"/>
      <c r="H2005" s="12"/>
      <c r="N2005" s="31"/>
      <c r="O2005" s="31"/>
      <c r="P2005" s="30"/>
      <c r="Q2005" s="30"/>
      <c r="R2005" s="30"/>
    </row>
    <row r="2006" spans="6:18" s="1" customFormat="1" x14ac:dyDescent="0.3">
      <c r="F2006" s="12"/>
      <c r="H2006" s="12"/>
      <c r="N2006" s="31"/>
      <c r="O2006" s="31"/>
      <c r="P2006" s="30"/>
      <c r="Q2006" s="30"/>
      <c r="R2006" s="30"/>
    </row>
    <row r="2007" spans="6:18" s="1" customFormat="1" x14ac:dyDescent="0.3">
      <c r="F2007" s="12"/>
      <c r="H2007" s="12"/>
      <c r="N2007" s="31"/>
      <c r="O2007" s="31"/>
      <c r="P2007" s="30"/>
      <c r="Q2007" s="30"/>
      <c r="R2007" s="30"/>
    </row>
    <row r="2008" spans="6:18" s="1" customFormat="1" x14ac:dyDescent="0.3">
      <c r="F2008" s="12"/>
      <c r="H2008" s="12"/>
      <c r="N2008" s="31"/>
      <c r="O2008" s="31"/>
      <c r="P2008" s="30"/>
      <c r="Q2008" s="30"/>
      <c r="R2008" s="30"/>
    </row>
    <row r="2009" spans="6:18" s="1" customFormat="1" x14ac:dyDescent="0.3">
      <c r="F2009" s="12"/>
      <c r="H2009" s="12"/>
      <c r="N2009" s="31"/>
      <c r="O2009" s="31"/>
      <c r="P2009" s="30"/>
      <c r="Q2009" s="30"/>
      <c r="R2009" s="30"/>
    </row>
    <row r="2010" spans="6:18" s="1" customFormat="1" x14ac:dyDescent="0.3">
      <c r="F2010" s="12"/>
      <c r="H2010" s="12"/>
      <c r="N2010" s="31"/>
      <c r="O2010" s="31"/>
      <c r="P2010" s="30"/>
      <c r="Q2010" s="30"/>
      <c r="R2010" s="30"/>
    </row>
    <row r="2011" spans="6:18" s="1" customFormat="1" x14ac:dyDescent="0.3">
      <c r="F2011" s="12"/>
      <c r="H2011" s="12"/>
      <c r="N2011" s="31"/>
      <c r="O2011" s="31"/>
      <c r="P2011" s="30"/>
      <c r="Q2011" s="30"/>
      <c r="R2011" s="30"/>
    </row>
    <row r="2012" spans="6:18" s="1" customFormat="1" x14ac:dyDescent="0.3">
      <c r="F2012" s="12"/>
      <c r="H2012" s="12"/>
      <c r="N2012" s="31"/>
      <c r="O2012" s="31"/>
      <c r="P2012" s="30"/>
      <c r="Q2012" s="30"/>
      <c r="R2012" s="30"/>
    </row>
    <row r="2013" spans="6:18" s="1" customFormat="1" x14ac:dyDescent="0.3">
      <c r="F2013" s="12"/>
      <c r="H2013" s="12"/>
      <c r="N2013" s="31"/>
      <c r="O2013" s="31"/>
      <c r="P2013" s="30"/>
      <c r="Q2013" s="30"/>
      <c r="R2013" s="30"/>
    </row>
    <row r="2014" spans="6:18" s="1" customFormat="1" x14ac:dyDescent="0.3">
      <c r="F2014" s="12"/>
      <c r="H2014" s="12"/>
      <c r="N2014" s="31"/>
      <c r="O2014" s="31"/>
      <c r="P2014" s="30"/>
      <c r="Q2014" s="30"/>
      <c r="R2014" s="30"/>
    </row>
    <row r="2015" spans="6:18" s="1" customFormat="1" x14ac:dyDescent="0.3">
      <c r="F2015" s="12"/>
      <c r="H2015" s="12"/>
      <c r="N2015" s="31"/>
      <c r="O2015" s="31"/>
      <c r="P2015" s="30"/>
      <c r="Q2015" s="30"/>
      <c r="R2015" s="30"/>
    </row>
    <row r="2016" spans="6:18" s="1" customFormat="1" x14ac:dyDescent="0.3">
      <c r="F2016" s="12"/>
      <c r="H2016" s="12"/>
      <c r="N2016" s="31"/>
      <c r="O2016" s="31"/>
      <c r="P2016" s="30"/>
      <c r="Q2016" s="30"/>
      <c r="R2016" s="30"/>
    </row>
    <row r="2017" spans="6:18" s="1" customFormat="1" x14ac:dyDescent="0.3">
      <c r="F2017" s="12"/>
      <c r="H2017" s="12"/>
      <c r="N2017" s="31"/>
      <c r="O2017" s="31"/>
      <c r="P2017" s="30"/>
      <c r="Q2017" s="30"/>
      <c r="R2017" s="30"/>
    </row>
    <row r="2018" spans="6:18" s="1" customFormat="1" x14ac:dyDescent="0.3">
      <c r="F2018" s="12"/>
      <c r="H2018" s="12"/>
      <c r="N2018" s="31"/>
      <c r="O2018" s="31"/>
      <c r="P2018" s="30"/>
      <c r="Q2018" s="30"/>
      <c r="R2018" s="30"/>
    </row>
    <row r="2019" spans="6:18" s="1" customFormat="1" x14ac:dyDescent="0.3">
      <c r="F2019" s="12"/>
      <c r="H2019" s="12"/>
      <c r="N2019" s="31"/>
      <c r="O2019" s="31"/>
      <c r="P2019" s="30"/>
      <c r="Q2019" s="30"/>
      <c r="R2019" s="30"/>
    </row>
    <row r="2020" spans="6:18" s="1" customFormat="1" x14ac:dyDescent="0.3">
      <c r="F2020" s="12"/>
      <c r="H2020" s="12"/>
      <c r="N2020" s="31"/>
      <c r="O2020" s="31"/>
      <c r="P2020" s="30"/>
      <c r="Q2020" s="30"/>
      <c r="R2020" s="30"/>
    </row>
    <row r="2021" spans="6:18" s="1" customFormat="1" x14ac:dyDescent="0.3">
      <c r="F2021" s="12"/>
      <c r="H2021" s="12"/>
      <c r="N2021" s="31"/>
      <c r="O2021" s="31"/>
      <c r="P2021" s="30"/>
      <c r="Q2021" s="30"/>
      <c r="R2021" s="30"/>
    </row>
    <row r="2022" spans="6:18" s="1" customFormat="1" x14ac:dyDescent="0.3">
      <c r="F2022" s="12"/>
      <c r="H2022" s="12"/>
      <c r="N2022" s="31"/>
      <c r="O2022" s="31"/>
      <c r="P2022" s="30"/>
      <c r="Q2022" s="30"/>
      <c r="R2022" s="30"/>
    </row>
    <row r="2023" spans="6:18" s="1" customFormat="1" x14ac:dyDescent="0.3">
      <c r="F2023" s="12"/>
      <c r="H2023" s="12"/>
      <c r="N2023" s="31"/>
      <c r="O2023" s="31"/>
      <c r="P2023" s="30"/>
      <c r="Q2023" s="30"/>
      <c r="R2023" s="30"/>
    </row>
    <row r="2024" spans="6:18" s="1" customFormat="1" x14ac:dyDescent="0.3">
      <c r="F2024" s="12"/>
      <c r="H2024" s="12"/>
      <c r="N2024" s="31"/>
      <c r="O2024" s="31"/>
      <c r="P2024" s="30"/>
      <c r="Q2024" s="30"/>
      <c r="R2024" s="30"/>
    </row>
    <row r="2025" spans="6:18" s="1" customFormat="1" x14ac:dyDescent="0.3">
      <c r="F2025" s="12"/>
      <c r="H2025" s="12"/>
      <c r="N2025" s="31"/>
      <c r="O2025" s="31"/>
      <c r="P2025" s="30"/>
      <c r="Q2025" s="30"/>
      <c r="R2025" s="30"/>
    </row>
    <row r="2026" spans="6:18" s="1" customFormat="1" x14ac:dyDescent="0.3">
      <c r="F2026" s="12"/>
      <c r="H2026" s="12"/>
      <c r="N2026" s="31"/>
      <c r="O2026" s="31"/>
      <c r="P2026" s="30"/>
      <c r="Q2026" s="30"/>
      <c r="R2026" s="30"/>
    </row>
    <row r="2027" spans="6:18" s="1" customFormat="1" x14ac:dyDescent="0.3">
      <c r="F2027" s="12"/>
      <c r="H2027" s="12"/>
      <c r="N2027" s="31"/>
      <c r="O2027" s="31"/>
      <c r="P2027" s="30"/>
      <c r="Q2027" s="30"/>
      <c r="R2027" s="30"/>
    </row>
    <row r="2028" spans="6:18" s="1" customFormat="1" x14ac:dyDescent="0.3">
      <c r="F2028" s="12"/>
      <c r="H2028" s="12"/>
      <c r="N2028" s="31"/>
      <c r="O2028" s="31"/>
      <c r="P2028" s="30"/>
      <c r="Q2028" s="30"/>
      <c r="R2028" s="30"/>
    </row>
    <row r="2029" spans="6:18" s="1" customFormat="1" x14ac:dyDescent="0.3">
      <c r="F2029" s="12"/>
      <c r="H2029" s="12"/>
      <c r="N2029" s="31"/>
      <c r="O2029" s="31"/>
      <c r="P2029" s="30"/>
      <c r="Q2029" s="30"/>
      <c r="R2029" s="30"/>
    </row>
    <row r="2030" spans="6:18" s="1" customFormat="1" x14ac:dyDescent="0.3">
      <c r="F2030" s="12"/>
      <c r="H2030" s="12"/>
      <c r="N2030" s="31"/>
      <c r="O2030" s="31"/>
      <c r="P2030" s="30"/>
      <c r="Q2030" s="30"/>
      <c r="R2030" s="30"/>
    </row>
    <row r="2031" spans="6:18" s="1" customFormat="1" x14ac:dyDescent="0.3">
      <c r="F2031" s="12"/>
      <c r="H2031" s="12"/>
      <c r="N2031" s="31"/>
      <c r="O2031" s="31"/>
      <c r="P2031" s="30"/>
      <c r="Q2031" s="30"/>
      <c r="R2031" s="30"/>
    </row>
    <row r="2032" spans="6:18" s="1" customFormat="1" x14ac:dyDescent="0.3">
      <c r="F2032" s="12"/>
      <c r="H2032" s="12"/>
      <c r="N2032" s="31"/>
      <c r="O2032" s="31"/>
      <c r="P2032" s="30"/>
      <c r="Q2032" s="30"/>
      <c r="R2032" s="30"/>
    </row>
    <row r="2033" spans="6:18" s="1" customFormat="1" x14ac:dyDescent="0.3">
      <c r="F2033" s="12"/>
      <c r="H2033" s="12"/>
      <c r="N2033" s="31"/>
      <c r="O2033" s="31"/>
      <c r="P2033" s="30"/>
      <c r="Q2033" s="30"/>
      <c r="R2033" s="30"/>
    </row>
    <row r="2034" spans="6:18" s="1" customFormat="1" x14ac:dyDescent="0.3">
      <c r="F2034" s="12"/>
      <c r="H2034" s="12"/>
      <c r="N2034" s="31"/>
      <c r="O2034" s="31"/>
      <c r="P2034" s="30"/>
      <c r="Q2034" s="30"/>
      <c r="R2034" s="30"/>
    </row>
    <row r="2035" spans="6:18" s="1" customFormat="1" x14ac:dyDescent="0.3">
      <c r="F2035" s="12"/>
      <c r="H2035" s="12"/>
      <c r="N2035" s="31"/>
      <c r="O2035" s="31"/>
      <c r="P2035" s="30"/>
      <c r="Q2035" s="30"/>
      <c r="R2035" s="30"/>
    </row>
    <row r="2036" spans="6:18" s="1" customFormat="1" x14ac:dyDescent="0.3">
      <c r="F2036" s="12"/>
      <c r="H2036" s="12"/>
      <c r="N2036" s="31"/>
      <c r="O2036" s="31"/>
      <c r="P2036" s="30"/>
      <c r="Q2036" s="30"/>
      <c r="R2036" s="30"/>
    </row>
    <row r="2037" spans="6:18" s="1" customFormat="1" x14ac:dyDescent="0.3">
      <c r="F2037" s="12"/>
      <c r="H2037" s="12"/>
      <c r="N2037" s="31"/>
      <c r="O2037" s="31"/>
      <c r="P2037" s="30"/>
      <c r="Q2037" s="30"/>
      <c r="R2037" s="30"/>
    </row>
    <row r="2038" spans="6:18" s="1" customFormat="1" x14ac:dyDescent="0.3">
      <c r="F2038" s="12"/>
      <c r="H2038" s="12"/>
      <c r="N2038" s="31"/>
      <c r="O2038" s="31"/>
      <c r="P2038" s="30"/>
      <c r="Q2038" s="30"/>
      <c r="R2038" s="30"/>
    </row>
    <row r="2039" spans="6:18" s="1" customFormat="1" x14ac:dyDescent="0.3">
      <c r="F2039" s="12"/>
      <c r="H2039" s="12"/>
      <c r="N2039" s="31"/>
      <c r="O2039" s="31"/>
      <c r="P2039" s="30"/>
      <c r="Q2039" s="30"/>
      <c r="R2039" s="30"/>
    </row>
    <row r="2040" spans="6:18" s="1" customFormat="1" x14ac:dyDescent="0.3">
      <c r="F2040" s="12"/>
      <c r="H2040" s="12"/>
      <c r="N2040" s="31"/>
      <c r="O2040" s="31"/>
      <c r="P2040" s="30"/>
      <c r="Q2040" s="30"/>
      <c r="R2040" s="30"/>
    </row>
    <row r="2041" spans="6:18" s="1" customFormat="1" x14ac:dyDescent="0.3">
      <c r="F2041" s="12"/>
      <c r="H2041" s="12"/>
      <c r="N2041" s="31"/>
      <c r="O2041" s="31"/>
      <c r="P2041" s="30"/>
      <c r="Q2041" s="30"/>
      <c r="R2041" s="30"/>
    </row>
    <row r="2042" spans="6:18" s="1" customFormat="1" x14ac:dyDescent="0.3">
      <c r="F2042" s="12"/>
      <c r="H2042" s="12"/>
      <c r="N2042" s="31"/>
      <c r="O2042" s="31"/>
      <c r="P2042" s="30"/>
      <c r="Q2042" s="30"/>
      <c r="R2042" s="30"/>
    </row>
    <row r="2043" spans="6:18" s="1" customFormat="1" x14ac:dyDescent="0.3">
      <c r="F2043" s="12"/>
      <c r="H2043" s="12"/>
      <c r="N2043" s="31"/>
      <c r="O2043" s="31"/>
      <c r="P2043" s="30"/>
      <c r="Q2043" s="30"/>
      <c r="R2043" s="30"/>
    </row>
    <row r="2044" spans="6:18" s="1" customFormat="1" x14ac:dyDescent="0.3">
      <c r="F2044" s="12"/>
      <c r="H2044" s="12"/>
      <c r="N2044" s="31"/>
      <c r="O2044" s="31"/>
      <c r="P2044" s="30"/>
      <c r="Q2044" s="30"/>
      <c r="R2044" s="30"/>
    </row>
    <row r="2045" spans="6:18" s="1" customFormat="1" x14ac:dyDescent="0.3">
      <c r="F2045" s="12"/>
      <c r="H2045" s="12"/>
      <c r="N2045" s="31"/>
      <c r="O2045" s="31"/>
      <c r="P2045" s="30"/>
      <c r="Q2045" s="30"/>
      <c r="R2045" s="30"/>
    </row>
    <row r="2046" spans="6:18" s="1" customFormat="1" x14ac:dyDescent="0.3">
      <c r="F2046" s="12"/>
      <c r="H2046" s="12"/>
      <c r="N2046" s="31"/>
      <c r="O2046" s="31"/>
      <c r="P2046" s="30"/>
      <c r="Q2046" s="30"/>
      <c r="R2046" s="30"/>
    </row>
    <row r="2047" spans="6:18" s="1" customFormat="1" x14ac:dyDescent="0.3">
      <c r="F2047" s="12"/>
      <c r="H2047" s="12"/>
      <c r="N2047" s="31"/>
      <c r="O2047" s="31"/>
      <c r="P2047" s="30"/>
      <c r="Q2047" s="30"/>
      <c r="R2047" s="30"/>
    </row>
    <row r="2048" spans="6:18" s="1" customFormat="1" x14ac:dyDescent="0.3">
      <c r="F2048" s="12"/>
      <c r="H2048" s="12"/>
      <c r="N2048" s="31"/>
      <c r="O2048" s="31"/>
      <c r="P2048" s="30"/>
      <c r="Q2048" s="30"/>
      <c r="R2048" s="30"/>
    </row>
    <row r="2049" spans="6:18" s="1" customFormat="1" x14ac:dyDescent="0.3">
      <c r="F2049" s="12"/>
      <c r="H2049" s="12"/>
      <c r="N2049" s="31"/>
      <c r="O2049" s="31"/>
      <c r="P2049" s="30"/>
      <c r="Q2049" s="30"/>
      <c r="R2049" s="30"/>
    </row>
    <row r="2050" spans="6:18" s="1" customFormat="1" x14ac:dyDescent="0.3">
      <c r="F2050" s="12"/>
      <c r="H2050" s="12"/>
      <c r="N2050" s="31"/>
      <c r="O2050" s="31"/>
      <c r="P2050" s="30"/>
      <c r="Q2050" s="30"/>
      <c r="R2050" s="30"/>
    </row>
    <row r="2051" spans="6:18" s="1" customFormat="1" x14ac:dyDescent="0.3">
      <c r="F2051" s="12"/>
      <c r="H2051" s="12"/>
      <c r="N2051" s="31"/>
      <c r="O2051" s="31"/>
      <c r="P2051" s="30"/>
      <c r="Q2051" s="30"/>
      <c r="R2051" s="30"/>
    </row>
    <row r="2052" spans="6:18" s="1" customFormat="1" x14ac:dyDescent="0.3">
      <c r="F2052" s="12"/>
      <c r="H2052" s="12"/>
      <c r="N2052" s="31"/>
      <c r="O2052" s="31"/>
      <c r="P2052" s="30"/>
      <c r="Q2052" s="30"/>
      <c r="R2052" s="30"/>
    </row>
    <row r="2053" spans="6:18" s="1" customFormat="1" x14ac:dyDescent="0.3">
      <c r="F2053" s="12"/>
      <c r="H2053" s="12"/>
      <c r="N2053" s="31"/>
      <c r="O2053" s="31"/>
      <c r="P2053" s="30"/>
      <c r="Q2053" s="30"/>
      <c r="R2053" s="30"/>
    </row>
    <row r="2054" spans="6:18" s="1" customFormat="1" x14ac:dyDescent="0.3">
      <c r="F2054" s="12"/>
      <c r="H2054" s="12"/>
      <c r="N2054" s="31"/>
      <c r="O2054" s="31"/>
      <c r="P2054" s="30"/>
      <c r="Q2054" s="30"/>
      <c r="R2054" s="30"/>
    </row>
    <row r="2055" spans="6:18" s="1" customFormat="1" x14ac:dyDescent="0.3">
      <c r="F2055" s="12"/>
      <c r="H2055" s="12"/>
      <c r="N2055" s="31"/>
      <c r="O2055" s="31"/>
      <c r="P2055" s="30"/>
      <c r="Q2055" s="30"/>
      <c r="R2055" s="30"/>
    </row>
    <row r="2056" spans="6:18" s="1" customFormat="1" x14ac:dyDescent="0.3">
      <c r="F2056" s="12"/>
      <c r="H2056" s="12"/>
      <c r="N2056" s="31"/>
      <c r="O2056" s="31"/>
      <c r="P2056" s="30"/>
      <c r="Q2056" s="30"/>
      <c r="R2056" s="30"/>
    </row>
    <row r="2057" spans="6:18" s="1" customFormat="1" x14ac:dyDescent="0.3">
      <c r="F2057" s="12"/>
      <c r="H2057" s="12"/>
      <c r="N2057" s="31"/>
      <c r="O2057" s="31"/>
      <c r="P2057" s="30"/>
      <c r="Q2057" s="30"/>
      <c r="R2057" s="30"/>
    </row>
    <row r="2058" spans="6:18" s="1" customFormat="1" x14ac:dyDescent="0.3">
      <c r="F2058" s="12"/>
      <c r="H2058" s="12"/>
      <c r="N2058" s="31"/>
      <c r="O2058" s="31"/>
      <c r="P2058" s="30"/>
      <c r="Q2058" s="30"/>
      <c r="R2058" s="30"/>
    </row>
    <row r="2059" spans="6:18" s="1" customFormat="1" x14ac:dyDescent="0.3">
      <c r="F2059" s="12"/>
      <c r="H2059" s="12"/>
      <c r="N2059" s="31"/>
      <c r="O2059" s="31"/>
      <c r="P2059" s="30"/>
      <c r="Q2059" s="30"/>
      <c r="R2059" s="30"/>
    </row>
    <row r="2060" spans="6:18" s="1" customFormat="1" x14ac:dyDescent="0.3">
      <c r="F2060" s="12"/>
      <c r="H2060" s="12"/>
      <c r="N2060" s="31"/>
      <c r="O2060" s="31"/>
      <c r="P2060" s="30"/>
      <c r="Q2060" s="30"/>
      <c r="R2060" s="30"/>
    </row>
    <row r="2061" spans="6:18" s="1" customFormat="1" x14ac:dyDescent="0.3">
      <c r="F2061" s="12"/>
      <c r="H2061" s="12"/>
      <c r="N2061" s="31"/>
      <c r="O2061" s="31"/>
      <c r="P2061" s="30"/>
      <c r="Q2061" s="30"/>
      <c r="R2061" s="30"/>
    </row>
    <row r="2062" spans="6:18" s="1" customFormat="1" x14ac:dyDescent="0.3">
      <c r="F2062" s="12"/>
      <c r="H2062" s="12"/>
      <c r="N2062" s="31"/>
      <c r="O2062" s="31"/>
      <c r="P2062" s="30"/>
      <c r="Q2062" s="30"/>
      <c r="R2062" s="30"/>
    </row>
    <row r="2063" spans="6:18" s="1" customFormat="1" x14ac:dyDescent="0.3">
      <c r="F2063" s="12"/>
      <c r="H2063" s="12"/>
      <c r="N2063" s="31"/>
      <c r="O2063" s="31"/>
      <c r="P2063" s="30"/>
      <c r="Q2063" s="30"/>
      <c r="R2063" s="30"/>
    </row>
    <row r="2064" spans="6:18" s="1" customFormat="1" x14ac:dyDescent="0.3">
      <c r="F2064" s="12"/>
      <c r="H2064" s="12"/>
      <c r="N2064" s="31"/>
      <c r="O2064" s="31"/>
      <c r="P2064" s="30"/>
      <c r="Q2064" s="30"/>
      <c r="R2064" s="30"/>
    </row>
    <row r="2065" spans="6:18" s="1" customFormat="1" x14ac:dyDescent="0.3">
      <c r="F2065" s="12"/>
      <c r="H2065" s="12"/>
      <c r="N2065" s="31"/>
      <c r="O2065" s="31"/>
      <c r="P2065" s="30"/>
      <c r="Q2065" s="30"/>
      <c r="R2065" s="30"/>
    </row>
    <row r="2066" spans="6:18" s="1" customFormat="1" x14ac:dyDescent="0.3">
      <c r="F2066" s="12"/>
      <c r="H2066" s="12"/>
      <c r="N2066" s="31"/>
      <c r="O2066" s="31"/>
      <c r="P2066" s="30"/>
      <c r="Q2066" s="30"/>
      <c r="R2066" s="30"/>
    </row>
    <row r="2067" spans="6:18" s="1" customFormat="1" x14ac:dyDescent="0.3">
      <c r="F2067" s="12"/>
      <c r="H2067" s="12"/>
      <c r="N2067" s="31"/>
      <c r="O2067" s="31"/>
      <c r="P2067" s="30"/>
      <c r="Q2067" s="30"/>
      <c r="R2067" s="30"/>
    </row>
    <row r="2068" spans="6:18" s="1" customFormat="1" x14ac:dyDescent="0.3">
      <c r="F2068" s="12"/>
      <c r="H2068" s="12"/>
      <c r="N2068" s="31"/>
      <c r="O2068" s="31"/>
      <c r="P2068" s="30"/>
      <c r="Q2068" s="30"/>
      <c r="R2068" s="30"/>
    </row>
    <row r="2069" spans="6:18" s="1" customFormat="1" x14ac:dyDescent="0.3">
      <c r="F2069" s="12"/>
      <c r="H2069" s="12"/>
      <c r="N2069" s="31"/>
      <c r="O2069" s="31"/>
      <c r="P2069" s="30"/>
      <c r="Q2069" s="30"/>
      <c r="R2069" s="30"/>
    </row>
    <row r="2070" spans="6:18" s="1" customFormat="1" x14ac:dyDescent="0.3">
      <c r="F2070" s="12"/>
      <c r="H2070" s="12"/>
      <c r="N2070" s="31"/>
      <c r="O2070" s="31"/>
      <c r="P2070" s="30"/>
      <c r="Q2070" s="30"/>
      <c r="R2070" s="30"/>
    </row>
    <row r="2071" spans="6:18" s="1" customFormat="1" x14ac:dyDescent="0.3">
      <c r="F2071" s="12"/>
      <c r="H2071" s="12"/>
      <c r="N2071" s="31"/>
      <c r="O2071" s="31"/>
      <c r="P2071" s="30"/>
      <c r="Q2071" s="30"/>
      <c r="R2071" s="30"/>
    </row>
    <row r="2072" spans="6:18" s="1" customFormat="1" x14ac:dyDescent="0.3">
      <c r="F2072" s="12"/>
      <c r="H2072" s="12"/>
      <c r="N2072" s="31"/>
      <c r="O2072" s="31"/>
      <c r="P2072" s="30"/>
      <c r="Q2072" s="30"/>
      <c r="R2072" s="30"/>
    </row>
    <row r="2073" spans="6:18" s="1" customFormat="1" x14ac:dyDescent="0.3">
      <c r="F2073" s="12"/>
      <c r="H2073" s="12"/>
      <c r="N2073" s="31"/>
      <c r="O2073" s="31"/>
      <c r="P2073" s="30"/>
      <c r="Q2073" s="30"/>
      <c r="R2073" s="30"/>
    </row>
    <row r="2074" spans="6:18" s="1" customFormat="1" x14ac:dyDescent="0.3">
      <c r="F2074" s="12"/>
      <c r="H2074" s="12"/>
      <c r="N2074" s="31"/>
      <c r="O2074" s="31"/>
      <c r="P2074" s="30"/>
      <c r="Q2074" s="30"/>
      <c r="R2074" s="30"/>
    </row>
    <row r="2075" spans="6:18" s="1" customFormat="1" x14ac:dyDescent="0.3">
      <c r="F2075" s="12"/>
      <c r="H2075" s="12"/>
      <c r="N2075" s="31"/>
      <c r="O2075" s="31"/>
      <c r="P2075" s="30"/>
      <c r="Q2075" s="30"/>
      <c r="R2075" s="30"/>
    </row>
    <row r="2076" spans="6:18" s="1" customFormat="1" x14ac:dyDescent="0.3">
      <c r="F2076" s="12"/>
      <c r="H2076" s="12"/>
      <c r="N2076" s="31"/>
      <c r="O2076" s="31"/>
      <c r="P2076" s="30"/>
      <c r="Q2076" s="30"/>
      <c r="R2076" s="30"/>
    </row>
    <row r="2077" spans="6:18" s="1" customFormat="1" x14ac:dyDescent="0.3">
      <c r="F2077" s="12"/>
      <c r="H2077" s="12"/>
      <c r="N2077" s="31"/>
      <c r="O2077" s="31"/>
      <c r="P2077" s="30"/>
      <c r="Q2077" s="30"/>
      <c r="R2077" s="30"/>
    </row>
    <row r="2078" spans="6:18" s="1" customFormat="1" x14ac:dyDescent="0.3">
      <c r="F2078" s="12"/>
      <c r="H2078" s="12"/>
      <c r="N2078" s="31"/>
      <c r="O2078" s="31"/>
      <c r="P2078" s="30"/>
      <c r="Q2078" s="30"/>
      <c r="R2078" s="30"/>
    </row>
    <row r="2079" spans="6:18" s="1" customFormat="1" x14ac:dyDescent="0.3">
      <c r="F2079" s="12"/>
      <c r="H2079" s="12"/>
      <c r="N2079" s="31"/>
      <c r="O2079" s="31"/>
      <c r="P2079" s="30"/>
      <c r="Q2079" s="30"/>
      <c r="R2079" s="30"/>
    </row>
    <row r="2080" spans="6:18" s="1" customFormat="1" x14ac:dyDescent="0.3">
      <c r="F2080" s="12"/>
      <c r="H2080" s="12"/>
      <c r="N2080" s="31"/>
      <c r="O2080" s="31"/>
      <c r="P2080" s="30"/>
      <c r="Q2080" s="30"/>
      <c r="R2080" s="30"/>
    </row>
    <row r="2081" spans="6:18" s="1" customFormat="1" x14ac:dyDescent="0.3">
      <c r="F2081" s="12"/>
      <c r="H2081" s="12"/>
      <c r="N2081" s="31"/>
      <c r="O2081" s="31"/>
      <c r="P2081" s="30"/>
      <c r="Q2081" s="30"/>
      <c r="R2081" s="30"/>
    </row>
    <row r="2082" spans="6:18" s="1" customFormat="1" x14ac:dyDescent="0.3">
      <c r="F2082" s="12"/>
      <c r="H2082" s="12"/>
      <c r="N2082" s="31"/>
      <c r="O2082" s="31"/>
      <c r="P2082" s="30"/>
      <c r="Q2082" s="30"/>
      <c r="R2082" s="30"/>
    </row>
    <row r="2083" spans="6:18" s="1" customFormat="1" x14ac:dyDescent="0.3">
      <c r="F2083" s="12"/>
      <c r="H2083" s="12"/>
      <c r="N2083" s="31"/>
      <c r="O2083" s="31"/>
      <c r="P2083" s="30"/>
      <c r="Q2083" s="30"/>
      <c r="R2083" s="30"/>
    </row>
    <row r="2084" spans="6:18" s="1" customFormat="1" x14ac:dyDescent="0.3">
      <c r="F2084" s="12"/>
      <c r="H2084" s="12"/>
      <c r="N2084" s="31"/>
      <c r="O2084" s="31"/>
      <c r="P2084" s="30"/>
      <c r="Q2084" s="30"/>
      <c r="R2084" s="30"/>
    </row>
    <row r="2085" spans="6:18" s="1" customFormat="1" x14ac:dyDescent="0.3">
      <c r="F2085" s="12"/>
      <c r="H2085" s="12"/>
      <c r="N2085" s="31"/>
      <c r="O2085" s="31"/>
      <c r="P2085" s="30"/>
      <c r="Q2085" s="30"/>
      <c r="R2085" s="30"/>
    </row>
    <row r="2086" spans="6:18" s="1" customFormat="1" x14ac:dyDescent="0.3">
      <c r="F2086" s="12"/>
      <c r="H2086" s="12"/>
      <c r="N2086" s="31"/>
      <c r="O2086" s="31"/>
      <c r="P2086" s="30"/>
      <c r="Q2086" s="30"/>
      <c r="R2086" s="30"/>
    </row>
    <row r="2087" spans="6:18" s="1" customFormat="1" x14ac:dyDescent="0.3">
      <c r="F2087" s="12"/>
      <c r="H2087" s="12"/>
      <c r="N2087" s="31"/>
      <c r="O2087" s="31"/>
      <c r="P2087" s="30"/>
      <c r="Q2087" s="30"/>
      <c r="R2087" s="30"/>
    </row>
    <row r="2088" spans="6:18" s="1" customFormat="1" x14ac:dyDescent="0.3">
      <c r="F2088" s="12"/>
      <c r="H2088" s="12"/>
      <c r="N2088" s="31"/>
      <c r="O2088" s="31"/>
      <c r="P2088" s="30"/>
      <c r="Q2088" s="30"/>
      <c r="R2088" s="30"/>
    </row>
    <row r="2089" spans="6:18" s="1" customFormat="1" x14ac:dyDescent="0.3">
      <c r="F2089" s="12"/>
      <c r="H2089" s="12"/>
      <c r="N2089" s="31"/>
      <c r="O2089" s="31"/>
      <c r="P2089" s="30"/>
      <c r="Q2089" s="30"/>
      <c r="R2089" s="30"/>
    </row>
    <row r="2090" spans="6:18" s="1" customFormat="1" x14ac:dyDescent="0.3">
      <c r="F2090" s="12"/>
      <c r="H2090" s="12"/>
      <c r="N2090" s="31"/>
      <c r="O2090" s="31"/>
      <c r="P2090" s="30"/>
      <c r="Q2090" s="30"/>
      <c r="R2090" s="30"/>
    </row>
    <row r="2091" spans="6:18" s="1" customFormat="1" x14ac:dyDescent="0.3">
      <c r="F2091" s="12"/>
      <c r="H2091" s="12"/>
      <c r="N2091" s="31"/>
      <c r="O2091" s="31"/>
      <c r="P2091" s="30"/>
      <c r="Q2091" s="30"/>
      <c r="R2091" s="30"/>
    </row>
    <row r="2092" spans="6:18" s="1" customFormat="1" x14ac:dyDescent="0.3">
      <c r="F2092" s="12"/>
      <c r="H2092" s="12"/>
      <c r="N2092" s="31"/>
      <c r="O2092" s="31"/>
      <c r="P2092" s="30"/>
      <c r="Q2092" s="30"/>
      <c r="R2092" s="30"/>
    </row>
    <row r="2093" spans="6:18" s="1" customFormat="1" x14ac:dyDescent="0.3">
      <c r="F2093" s="12"/>
      <c r="H2093" s="12"/>
      <c r="N2093" s="31"/>
      <c r="O2093" s="31"/>
      <c r="P2093" s="30"/>
      <c r="Q2093" s="30"/>
      <c r="R2093" s="30"/>
    </row>
    <row r="2094" spans="6:18" s="1" customFormat="1" x14ac:dyDescent="0.3">
      <c r="F2094" s="12"/>
      <c r="H2094" s="12"/>
      <c r="N2094" s="31"/>
      <c r="O2094" s="31"/>
      <c r="P2094" s="30"/>
      <c r="Q2094" s="30"/>
      <c r="R2094" s="30"/>
    </row>
    <row r="2095" spans="6:18" s="1" customFormat="1" x14ac:dyDescent="0.3">
      <c r="F2095" s="12"/>
      <c r="H2095" s="12"/>
      <c r="N2095" s="31"/>
      <c r="O2095" s="31"/>
      <c r="P2095" s="30"/>
      <c r="Q2095" s="30"/>
      <c r="R2095" s="30"/>
    </row>
    <row r="2096" spans="6:18" s="1" customFormat="1" x14ac:dyDescent="0.3">
      <c r="F2096" s="12"/>
      <c r="H2096" s="12"/>
      <c r="N2096" s="31"/>
      <c r="O2096" s="31"/>
      <c r="P2096" s="30"/>
      <c r="Q2096" s="30"/>
      <c r="R2096" s="30"/>
    </row>
    <row r="2097" spans="6:18" s="1" customFormat="1" x14ac:dyDescent="0.3">
      <c r="F2097" s="12"/>
      <c r="H2097" s="12"/>
      <c r="N2097" s="31"/>
      <c r="O2097" s="31"/>
      <c r="P2097" s="30"/>
      <c r="Q2097" s="30"/>
      <c r="R2097" s="30"/>
    </row>
    <row r="2098" spans="6:18" s="1" customFormat="1" x14ac:dyDescent="0.3">
      <c r="F2098" s="12"/>
      <c r="H2098" s="12"/>
      <c r="N2098" s="31"/>
      <c r="O2098" s="31"/>
      <c r="P2098" s="30"/>
      <c r="Q2098" s="30"/>
      <c r="R2098" s="30"/>
    </row>
    <row r="2099" spans="6:18" s="1" customFormat="1" x14ac:dyDescent="0.3">
      <c r="F2099" s="12"/>
      <c r="H2099" s="12"/>
      <c r="N2099" s="31"/>
      <c r="O2099" s="31"/>
      <c r="P2099" s="30"/>
      <c r="Q2099" s="30"/>
      <c r="R2099" s="30"/>
    </row>
    <row r="2100" spans="6:18" s="1" customFormat="1" x14ac:dyDescent="0.3">
      <c r="F2100" s="12"/>
      <c r="H2100" s="12"/>
      <c r="N2100" s="31"/>
      <c r="O2100" s="31"/>
      <c r="P2100" s="30"/>
      <c r="Q2100" s="30"/>
      <c r="R2100" s="30"/>
    </row>
    <row r="2101" spans="6:18" s="1" customFormat="1" x14ac:dyDescent="0.3">
      <c r="F2101" s="12"/>
      <c r="H2101" s="12"/>
      <c r="N2101" s="31"/>
      <c r="O2101" s="31"/>
      <c r="P2101" s="30"/>
      <c r="Q2101" s="30"/>
      <c r="R2101" s="30"/>
    </row>
    <row r="2102" spans="6:18" s="1" customFormat="1" x14ac:dyDescent="0.3">
      <c r="F2102" s="12"/>
      <c r="H2102" s="12"/>
      <c r="N2102" s="31"/>
      <c r="O2102" s="31"/>
      <c r="P2102" s="30"/>
      <c r="Q2102" s="30"/>
      <c r="R2102" s="30"/>
    </row>
    <row r="2103" spans="6:18" s="1" customFormat="1" x14ac:dyDescent="0.3">
      <c r="F2103" s="12"/>
      <c r="H2103" s="12"/>
      <c r="N2103" s="31"/>
      <c r="O2103" s="31"/>
      <c r="P2103" s="30"/>
      <c r="Q2103" s="30"/>
      <c r="R2103" s="30"/>
    </row>
    <row r="2104" spans="6:18" s="1" customFormat="1" x14ac:dyDescent="0.3">
      <c r="F2104" s="12"/>
      <c r="H2104" s="12"/>
      <c r="N2104" s="31"/>
      <c r="O2104" s="31"/>
      <c r="P2104" s="30"/>
      <c r="Q2104" s="30"/>
      <c r="R2104" s="30"/>
    </row>
    <row r="2105" spans="6:18" s="1" customFormat="1" x14ac:dyDescent="0.3">
      <c r="F2105" s="12"/>
      <c r="H2105" s="12"/>
      <c r="N2105" s="31"/>
      <c r="O2105" s="31"/>
      <c r="P2105" s="30"/>
      <c r="Q2105" s="30"/>
      <c r="R2105" s="30"/>
    </row>
    <row r="2106" spans="6:18" s="1" customFormat="1" x14ac:dyDescent="0.3">
      <c r="F2106" s="12"/>
      <c r="H2106" s="12"/>
      <c r="N2106" s="31"/>
      <c r="O2106" s="31"/>
      <c r="P2106" s="30"/>
      <c r="Q2106" s="30"/>
      <c r="R2106" s="30"/>
    </row>
    <row r="2107" spans="6:18" s="1" customFormat="1" x14ac:dyDescent="0.3">
      <c r="F2107" s="12"/>
      <c r="H2107" s="12"/>
      <c r="N2107" s="31"/>
      <c r="O2107" s="31"/>
      <c r="P2107" s="30"/>
      <c r="Q2107" s="30"/>
      <c r="R2107" s="30"/>
    </row>
    <row r="2108" spans="6:18" s="1" customFormat="1" x14ac:dyDescent="0.3">
      <c r="F2108" s="12"/>
      <c r="H2108" s="12"/>
      <c r="N2108" s="31"/>
      <c r="O2108" s="31"/>
      <c r="P2108" s="30"/>
      <c r="Q2108" s="30"/>
      <c r="R2108" s="30"/>
    </row>
    <row r="2109" spans="6:18" s="1" customFormat="1" x14ac:dyDescent="0.3">
      <c r="F2109" s="12"/>
      <c r="H2109" s="12"/>
      <c r="N2109" s="31"/>
      <c r="O2109" s="31"/>
      <c r="P2109" s="30"/>
      <c r="Q2109" s="30"/>
      <c r="R2109" s="30"/>
    </row>
    <row r="2110" spans="6:18" s="1" customFormat="1" x14ac:dyDescent="0.3">
      <c r="F2110" s="12"/>
      <c r="H2110" s="12"/>
      <c r="N2110" s="31"/>
      <c r="O2110" s="31"/>
      <c r="P2110" s="30"/>
      <c r="Q2110" s="30"/>
      <c r="R2110" s="30"/>
    </row>
    <row r="2111" spans="6:18" s="1" customFormat="1" x14ac:dyDescent="0.3">
      <c r="F2111" s="12"/>
      <c r="H2111" s="12"/>
      <c r="N2111" s="31"/>
      <c r="O2111" s="31"/>
      <c r="P2111" s="30"/>
      <c r="Q2111" s="30"/>
      <c r="R2111" s="30"/>
    </row>
    <row r="2112" spans="6:18" s="1" customFormat="1" x14ac:dyDescent="0.3">
      <c r="F2112" s="12"/>
      <c r="H2112" s="12"/>
      <c r="N2112" s="31"/>
      <c r="O2112" s="31"/>
      <c r="P2112" s="30"/>
      <c r="Q2112" s="30"/>
      <c r="R2112" s="30"/>
    </row>
    <row r="2113" spans="6:18" s="1" customFormat="1" x14ac:dyDescent="0.3">
      <c r="F2113" s="12"/>
      <c r="H2113" s="12"/>
      <c r="N2113" s="31"/>
      <c r="O2113" s="31"/>
      <c r="P2113" s="30"/>
      <c r="Q2113" s="30"/>
      <c r="R2113" s="30"/>
    </row>
    <row r="2114" spans="6:18" s="1" customFormat="1" x14ac:dyDescent="0.3">
      <c r="F2114" s="12"/>
      <c r="H2114" s="12"/>
      <c r="N2114" s="31"/>
      <c r="O2114" s="31"/>
      <c r="P2114" s="30"/>
      <c r="Q2114" s="30"/>
      <c r="R2114" s="30"/>
    </row>
    <row r="2115" spans="6:18" s="1" customFormat="1" x14ac:dyDescent="0.3">
      <c r="F2115" s="12"/>
      <c r="H2115" s="12"/>
      <c r="N2115" s="31"/>
      <c r="O2115" s="31"/>
      <c r="P2115" s="30"/>
      <c r="Q2115" s="30"/>
      <c r="R2115" s="30"/>
    </row>
    <row r="2116" spans="6:18" s="1" customFormat="1" x14ac:dyDescent="0.3">
      <c r="F2116" s="12"/>
      <c r="H2116" s="12"/>
      <c r="N2116" s="31"/>
      <c r="O2116" s="31"/>
      <c r="P2116" s="30"/>
      <c r="Q2116" s="30"/>
      <c r="R2116" s="30"/>
    </row>
    <row r="2117" spans="6:18" s="1" customFormat="1" x14ac:dyDescent="0.3">
      <c r="F2117" s="12"/>
      <c r="H2117" s="12"/>
      <c r="N2117" s="31"/>
      <c r="O2117" s="31"/>
      <c r="P2117" s="30"/>
      <c r="Q2117" s="30"/>
      <c r="R2117" s="30"/>
    </row>
    <row r="2118" spans="6:18" s="1" customFormat="1" x14ac:dyDescent="0.3">
      <c r="F2118" s="12"/>
      <c r="H2118" s="12"/>
      <c r="N2118" s="31"/>
      <c r="O2118" s="31"/>
      <c r="P2118" s="30"/>
      <c r="Q2118" s="30"/>
      <c r="R2118" s="30"/>
    </row>
    <row r="2119" spans="6:18" s="1" customFormat="1" x14ac:dyDescent="0.3">
      <c r="F2119" s="12"/>
      <c r="H2119" s="12"/>
      <c r="N2119" s="31"/>
      <c r="O2119" s="31"/>
      <c r="P2119" s="30"/>
      <c r="Q2119" s="30"/>
      <c r="R2119" s="30"/>
    </row>
    <row r="2120" spans="6:18" s="1" customFormat="1" x14ac:dyDescent="0.3">
      <c r="F2120" s="12"/>
      <c r="H2120" s="12"/>
      <c r="N2120" s="31"/>
      <c r="O2120" s="31"/>
      <c r="P2120" s="30"/>
      <c r="Q2120" s="30"/>
      <c r="R2120" s="30"/>
    </row>
    <row r="2121" spans="6:18" s="1" customFormat="1" x14ac:dyDescent="0.3">
      <c r="F2121" s="12"/>
      <c r="H2121" s="12"/>
      <c r="N2121" s="31"/>
      <c r="O2121" s="31"/>
      <c r="P2121" s="30"/>
      <c r="Q2121" s="30"/>
      <c r="R2121" s="30"/>
    </row>
    <row r="2122" spans="6:18" s="1" customFormat="1" x14ac:dyDescent="0.3">
      <c r="F2122" s="12"/>
      <c r="H2122" s="12"/>
      <c r="N2122" s="31"/>
      <c r="O2122" s="31"/>
      <c r="P2122" s="30"/>
      <c r="Q2122" s="30"/>
      <c r="R2122" s="30"/>
    </row>
    <row r="2123" spans="6:18" s="1" customFormat="1" x14ac:dyDescent="0.3">
      <c r="F2123" s="12"/>
      <c r="H2123" s="12"/>
      <c r="N2123" s="31"/>
      <c r="O2123" s="31"/>
      <c r="P2123" s="30"/>
      <c r="Q2123" s="30"/>
      <c r="R2123" s="30"/>
    </row>
    <row r="2124" spans="6:18" s="1" customFormat="1" x14ac:dyDescent="0.3">
      <c r="F2124" s="12"/>
      <c r="H2124" s="12"/>
      <c r="N2124" s="31"/>
      <c r="O2124" s="31"/>
      <c r="P2124" s="30"/>
      <c r="Q2124" s="30"/>
      <c r="R2124" s="30"/>
    </row>
    <row r="2125" spans="6:18" s="1" customFormat="1" x14ac:dyDescent="0.3">
      <c r="F2125" s="12"/>
      <c r="H2125" s="12"/>
      <c r="N2125" s="31"/>
      <c r="O2125" s="31"/>
      <c r="P2125" s="30"/>
      <c r="Q2125" s="30"/>
      <c r="R2125" s="30"/>
    </row>
    <row r="2126" spans="6:18" s="1" customFormat="1" x14ac:dyDescent="0.3">
      <c r="F2126" s="12"/>
      <c r="H2126" s="12"/>
      <c r="N2126" s="31"/>
      <c r="O2126" s="31"/>
      <c r="P2126" s="30"/>
      <c r="Q2126" s="30"/>
      <c r="R2126" s="30"/>
    </row>
    <row r="2127" spans="6:18" s="1" customFormat="1" x14ac:dyDescent="0.3">
      <c r="F2127" s="12"/>
      <c r="H2127" s="12"/>
      <c r="N2127" s="31"/>
      <c r="O2127" s="31"/>
      <c r="P2127" s="30"/>
      <c r="Q2127" s="30"/>
      <c r="R2127" s="30"/>
    </row>
    <row r="2128" spans="6:18" s="1" customFormat="1" x14ac:dyDescent="0.3">
      <c r="F2128" s="12"/>
      <c r="H2128" s="12"/>
      <c r="N2128" s="31"/>
      <c r="O2128" s="31"/>
      <c r="P2128" s="30"/>
      <c r="Q2128" s="30"/>
      <c r="R2128" s="30"/>
    </row>
    <row r="2129" spans="6:18" s="1" customFormat="1" x14ac:dyDescent="0.3">
      <c r="F2129" s="12"/>
      <c r="H2129" s="12"/>
      <c r="N2129" s="31"/>
      <c r="O2129" s="31"/>
      <c r="P2129" s="30"/>
      <c r="Q2129" s="30"/>
      <c r="R2129" s="30"/>
    </row>
    <row r="2130" spans="6:18" s="1" customFormat="1" x14ac:dyDescent="0.3">
      <c r="F2130" s="12"/>
      <c r="H2130" s="12"/>
      <c r="N2130" s="31"/>
      <c r="O2130" s="31"/>
      <c r="P2130" s="30"/>
      <c r="Q2130" s="30"/>
      <c r="R2130" s="30"/>
    </row>
    <row r="2131" spans="6:18" s="1" customFormat="1" x14ac:dyDescent="0.3">
      <c r="F2131" s="12"/>
      <c r="H2131" s="12"/>
      <c r="N2131" s="31"/>
      <c r="O2131" s="31"/>
      <c r="P2131" s="30"/>
      <c r="Q2131" s="30"/>
      <c r="R2131" s="30"/>
    </row>
    <row r="2132" spans="6:18" s="1" customFormat="1" x14ac:dyDescent="0.3">
      <c r="F2132" s="12"/>
      <c r="H2132" s="12"/>
      <c r="N2132" s="31"/>
      <c r="O2132" s="31"/>
      <c r="P2132" s="30"/>
      <c r="Q2132" s="30"/>
      <c r="R2132" s="30"/>
    </row>
    <row r="2133" spans="6:18" s="1" customFormat="1" x14ac:dyDescent="0.3">
      <c r="F2133" s="12"/>
      <c r="H2133" s="12"/>
      <c r="N2133" s="31"/>
      <c r="O2133" s="31"/>
      <c r="P2133" s="30"/>
      <c r="Q2133" s="30"/>
      <c r="R2133" s="30"/>
    </row>
    <row r="2134" spans="6:18" s="1" customFormat="1" x14ac:dyDescent="0.3">
      <c r="F2134" s="12"/>
      <c r="H2134" s="12"/>
      <c r="N2134" s="31"/>
      <c r="O2134" s="31"/>
      <c r="P2134" s="30"/>
      <c r="Q2134" s="30"/>
      <c r="R2134" s="30"/>
    </row>
    <row r="2135" spans="6:18" s="1" customFormat="1" x14ac:dyDescent="0.3">
      <c r="F2135" s="12"/>
      <c r="H2135" s="12"/>
      <c r="N2135" s="31"/>
      <c r="O2135" s="31"/>
      <c r="P2135" s="30"/>
      <c r="Q2135" s="30"/>
      <c r="R2135" s="30"/>
    </row>
    <row r="2136" spans="6:18" s="1" customFormat="1" x14ac:dyDescent="0.3">
      <c r="F2136" s="12"/>
      <c r="H2136" s="12"/>
      <c r="N2136" s="31"/>
      <c r="O2136" s="31"/>
      <c r="P2136" s="30"/>
      <c r="Q2136" s="30"/>
      <c r="R2136" s="30"/>
    </row>
    <row r="2137" spans="6:18" s="1" customFormat="1" x14ac:dyDescent="0.3">
      <c r="F2137" s="12"/>
      <c r="H2137" s="12"/>
      <c r="N2137" s="31"/>
      <c r="O2137" s="31"/>
      <c r="P2137" s="30"/>
      <c r="Q2137" s="30"/>
      <c r="R2137" s="30"/>
    </row>
    <row r="2138" spans="6:18" s="1" customFormat="1" x14ac:dyDescent="0.3">
      <c r="F2138" s="12"/>
      <c r="H2138" s="12"/>
      <c r="N2138" s="31"/>
      <c r="O2138" s="31"/>
      <c r="P2138" s="30"/>
      <c r="Q2138" s="30"/>
      <c r="R2138" s="30"/>
    </row>
    <row r="2139" spans="6:18" s="1" customFormat="1" x14ac:dyDescent="0.3">
      <c r="F2139" s="12"/>
      <c r="H2139" s="12"/>
      <c r="N2139" s="31"/>
      <c r="O2139" s="31"/>
      <c r="P2139" s="30"/>
      <c r="Q2139" s="30"/>
      <c r="R2139" s="30"/>
    </row>
    <row r="2140" spans="6:18" s="1" customFormat="1" x14ac:dyDescent="0.3">
      <c r="F2140" s="12"/>
      <c r="H2140" s="12"/>
      <c r="N2140" s="31"/>
      <c r="O2140" s="31"/>
      <c r="P2140" s="30"/>
      <c r="Q2140" s="30"/>
      <c r="R2140" s="30"/>
    </row>
    <row r="2141" spans="6:18" s="1" customFormat="1" x14ac:dyDescent="0.3">
      <c r="F2141" s="12"/>
      <c r="H2141" s="12"/>
      <c r="N2141" s="31"/>
      <c r="O2141" s="31"/>
      <c r="P2141" s="30"/>
      <c r="Q2141" s="30"/>
      <c r="R2141" s="30"/>
    </row>
    <row r="2142" spans="6:18" s="1" customFormat="1" x14ac:dyDescent="0.3">
      <c r="F2142" s="12"/>
      <c r="H2142" s="12"/>
      <c r="N2142" s="31"/>
      <c r="O2142" s="31"/>
      <c r="P2142" s="30"/>
      <c r="Q2142" s="30"/>
      <c r="R2142" s="30"/>
    </row>
    <row r="2143" spans="6:18" s="1" customFormat="1" x14ac:dyDescent="0.3">
      <c r="F2143" s="12"/>
      <c r="H2143" s="12"/>
      <c r="N2143" s="31"/>
      <c r="O2143" s="31"/>
      <c r="P2143" s="30"/>
      <c r="Q2143" s="30"/>
      <c r="R2143" s="30"/>
    </row>
    <row r="2144" spans="6:18" s="1" customFormat="1" x14ac:dyDescent="0.3">
      <c r="F2144" s="12"/>
      <c r="H2144" s="12"/>
      <c r="N2144" s="31"/>
      <c r="O2144" s="31"/>
      <c r="P2144" s="30"/>
      <c r="Q2144" s="30"/>
      <c r="R2144" s="30"/>
    </row>
    <row r="2145" spans="6:18" s="1" customFormat="1" x14ac:dyDescent="0.3">
      <c r="F2145" s="12"/>
      <c r="H2145" s="12"/>
      <c r="N2145" s="31"/>
      <c r="O2145" s="31"/>
      <c r="P2145" s="30"/>
      <c r="Q2145" s="30"/>
      <c r="R2145" s="30"/>
    </row>
    <row r="2146" spans="6:18" s="1" customFormat="1" x14ac:dyDescent="0.3">
      <c r="F2146" s="12"/>
      <c r="H2146" s="12"/>
      <c r="N2146" s="31"/>
      <c r="O2146" s="31"/>
      <c r="P2146" s="30"/>
      <c r="Q2146" s="30"/>
      <c r="R2146" s="30"/>
    </row>
    <row r="2147" spans="6:18" s="1" customFormat="1" x14ac:dyDescent="0.3">
      <c r="F2147" s="12"/>
      <c r="H2147" s="12"/>
      <c r="N2147" s="31"/>
      <c r="O2147" s="31"/>
      <c r="P2147" s="30"/>
      <c r="Q2147" s="30"/>
      <c r="R2147" s="30"/>
    </row>
    <row r="2148" spans="6:18" s="1" customFormat="1" x14ac:dyDescent="0.3">
      <c r="F2148" s="12"/>
      <c r="H2148" s="12"/>
      <c r="N2148" s="31"/>
      <c r="O2148" s="31"/>
      <c r="P2148" s="30"/>
      <c r="Q2148" s="30"/>
      <c r="R2148" s="30"/>
    </row>
    <row r="2149" spans="6:18" s="1" customFormat="1" x14ac:dyDescent="0.3">
      <c r="F2149" s="12"/>
      <c r="H2149" s="12"/>
      <c r="N2149" s="31"/>
      <c r="O2149" s="31"/>
      <c r="P2149" s="30"/>
      <c r="Q2149" s="30"/>
      <c r="R2149" s="30"/>
    </row>
    <row r="2150" spans="6:18" s="1" customFormat="1" x14ac:dyDescent="0.3">
      <c r="F2150" s="12"/>
      <c r="H2150" s="12"/>
      <c r="N2150" s="31"/>
      <c r="O2150" s="31"/>
      <c r="P2150" s="30"/>
      <c r="Q2150" s="30"/>
      <c r="R2150" s="30"/>
    </row>
    <row r="2151" spans="6:18" s="1" customFormat="1" x14ac:dyDescent="0.3">
      <c r="F2151" s="12"/>
      <c r="H2151" s="12"/>
      <c r="N2151" s="31"/>
      <c r="O2151" s="31"/>
      <c r="P2151" s="30"/>
      <c r="Q2151" s="30"/>
      <c r="R2151" s="30"/>
    </row>
    <row r="2152" spans="6:18" s="1" customFormat="1" x14ac:dyDescent="0.3">
      <c r="F2152" s="12"/>
      <c r="H2152" s="12"/>
      <c r="N2152" s="31"/>
      <c r="O2152" s="31"/>
      <c r="P2152" s="30"/>
      <c r="Q2152" s="30"/>
      <c r="R2152" s="30"/>
    </row>
    <row r="2153" spans="6:18" s="1" customFormat="1" x14ac:dyDescent="0.3">
      <c r="F2153" s="12"/>
      <c r="H2153" s="12"/>
      <c r="N2153" s="31"/>
      <c r="O2153" s="31"/>
      <c r="P2153" s="30"/>
      <c r="Q2153" s="30"/>
      <c r="R2153" s="30"/>
    </row>
    <row r="2154" spans="6:18" s="1" customFormat="1" x14ac:dyDescent="0.3">
      <c r="F2154" s="12"/>
      <c r="H2154" s="12"/>
      <c r="N2154" s="31"/>
      <c r="O2154" s="31"/>
      <c r="P2154" s="30"/>
      <c r="Q2154" s="30"/>
      <c r="R2154" s="30"/>
    </row>
    <row r="2155" spans="6:18" s="1" customFormat="1" x14ac:dyDescent="0.3">
      <c r="F2155" s="12"/>
      <c r="H2155" s="12"/>
      <c r="N2155" s="31"/>
      <c r="O2155" s="31"/>
      <c r="P2155" s="30"/>
      <c r="Q2155" s="30"/>
      <c r="R2155" s="30"/>
    </row>
    <row r="2156" spans="6:18" s="1" customFormat="1" x14ac:dyDescent="0.3">
      <c r="F2156" s="12"/>
      <c r="H2156" s="12"/>
      <c r="N2156" s="31"/>
      <c r="O2156" s="31"/>
      <c r="P2156" s="30"/>
      <c r="Q2156" s="30"/>
      <c r="R2156" s="30"/>
    </row>
    <row r="2157" spans="6:18" s="1" customFormat="1" x14ac:dyDescent="0.3">
      <c r="F2157" s="12"/>
      <c r="H2157" s="12"/>
      <c r="N2157" s="31"/>
      <c r="O2157" s="31"/>
      <c r="P2157" s="30"/>
      <c r="Q2157" s="30"/>
      <c r="R2157" s="30"/>
    </row>
    <row r="2158" spans="6:18" s="1" customFormat="1" x14ac:dyDescent="0.3">
      <c r="F2158" s="12"/>
      <c r="H2158" s="12"/>
      <c r="N2158" s="31"/>
      <c r="O2158" s="31"/>
      <c r="P2158" s="30"/>
      <c r="Q2158" s="30"/>
      <c r="R2158" s="30"/>
    </row>
    <row r="2159" spans="6:18" s="1" customFormat="1" x14ac:dyDescent="0.3">
      <c r="F2159" s="12"/>
      <c r="H2159" s="12"/>
      <c r="N2159" s="31"/>
      <c r="O2159" s="31"/>
      <c r="P2159" s="30"/>
      <c r="Q2159" s="30"/>
      <c r="R2159" s="30"/>
    </row>
    <row r="2160" spans="6:18" s="1" customFormat="1" x14ac:dyDescent="0.3">
      <c r="F2160" s="12"/>
      <c r="H2160" s="12"/>
      <c r="N2160" s="31"/>
      <c r="O2160" s="31"/>
      <c r="P2160" s="30"/>
      <c r="Q2160" s="30"/>
      <c r="R2160" s="30"/>
    </row>
    <row r="2161" spans="6:18" s="1" customFormat="1" x14ac:dyDescent="0.3">
      <c r="F2161" s="12"/>
      <c r="H2161" s="12"/>
      <c r="N2161" s="31"/>
      <c r="O2161" s="31"/>
      <c r="P2161" s="30"/>
      <c r="Q2161" s="30"/>
      <c r="R2161" s="30"/>
    </row>
    <row r="2162" spans="6:18" s="1" customFormat="1" x14ac:dyDescent="0.3">
      <c r="F2162" s="12"/>
      <c r="H2162" s="12"/>
      <c r="N2162" s="31"/>
      <c r="O2162" s="31"/>
      <c r="P2162" s="30"/>
      <c r="Q2162" s="30"/>
      <c r="R2162" s="30"/>
    </row>
    <row r="2163" spans="6:18" s="1" customFormat="1" x14ac:dyDescent="0.3">
      <c r="F2163" s="12"/>
      <c r="H2163" s="12"/>
      <c r="N2163" s="31"/>
      <c r="O2163" s="31"/>
      <c r="P2163" s="30"/>
      <c r="Q2163" s="30"/>
      <c r="R2163" s="30"/>
    </row>
    <row r="2164" spans="6:18" s="1" customFormat="1" x14ac:dyDescent="0.3">
      <c r="F2164" s="12"/>
      <c r="H2164" s="12"/>
      <c r="N2164" s="31"/>
      <c r="O2164" s="31"/>
      <c r="P2164" s="30"/>
      <c r="Q2164" s="30"/>
      <c r="R2164" s="30"/>
    </row>
    <row r="2165" spans="6:18" s="1" customFormat="1" x14ac:dyDescent="0.3">
      <c r="F2165" s="12"/>
      <c r="H2165" s="12"/>
      <c r="N2165" s="31"/>
      <c r="O2165" s="31"/>
      <c r="P2165" s="30"/>
      <c r="Q2165" s="30"/>
      <c r="R2165" s="30"/>
    </row>
    <row r="2166" spans="6:18" s="1" customFormat="1" x14ac:dyDescent="0.3">
      <c r="F2166" s="12"/>
      <c r="H2166" s="12"/>
      <c r="N2166" s="31"/>
      <c r="O2166" s="31"/>
      <c r="P2166" s="30"/>
      <c r="Q2166" s="30"/>
      <c r="R2166" s="30"/>
    </row>
    <row r="2167" spans="6:18" s="1" customFormat="1" x14ac:dyDescent="0.3">
      <c r="F2167" s="12"/>
      <c r="H2167" s="12"/>
      <c r="N2167" s="31"/>
      <c r="O2167" s="31"/>
      <c r="P2167" s="30"/>
      <c r="Q2167" s="30"/>
      <c r="R2167" s="30"/>
    </row>
    <row r="2168" spans="6:18" s="1" customFormat="1" x14ac:dyDescent="0.3">
      <c r="F2168" s="12"/>
      <c r="H2168" s="12"/>
      <c r="N2168" s="31"/>
      <c r="O2168" s="31"/>
      <c r="P2168" s="30"/>
      <c r="Q2168" s="30"/>
      <c r="R2168" s="30"/>
    </row>
    <row r="2169" spans="6:18" s="1" customFormat="1" x14ac:dyDescent="0.3">
      <c r="F2169" s="12"/>
      <c r="H2169" s="12"/>
      <c r="N2169" s="31"/>
      <c r="O2169" s="31"/>
      <c r="P2169" s="30"/>
      <c r="Q2169" s="30"/>
      <c r="R2169" s="30"/>
    </row>
    <row r="2170" spans="6:18" s="1" customFormat="1" x14ac:dyDescent="0.3">
      <c r="F2170" s="12"/>
      <c r="H2170" s="12"/>
      <c r="N2170" s="31"/>
      <c r="O2170" s="31"/>
      <c r="P2170" s="30"/>
      <c r="Q2170" s="30"/>
      <c r="R2170" s="30"/>
    </row>
    <row r="2171" spans="6:18" s="1" customFormat="1" x14ac:dyDescent="0.3">
      <c r="F2171" s="12"/>
      <c r="H2171" s="12"/>
      <c r="N2171" s="31"/>
      <c r="O2171" s="31"/>
      <c r="P2171" s="30"/>
      <c r="Q2171" s="30"/>
      <c r="R2171" s="30"/>
    </row>
    <row r="2172" spans="6:18" s="1" customFormat="1" x14ac:dyDescent="0.3">
      <c r="F2172" s="12"/>
      <c r="H2172" s="12"/>
      <c r="N2172" s="31"/>
      <c r="O2172" s="31"/>
      <c r="P2172" s="30"/>
      <c r="Q2172" s="30"/>
      <c r="R2172" s="30"/>
    </row>
    <row r="2173" spans="6:18" s="1" customFormat="1" x14ac:dyDescent="0.3">
      <c r="F2173" s="12"/>
      <c r="H2173" s="12"/>
      <c r="N2173" s="31"/>
      <c r="O2173" s="31"/>
      <c r="P2173" s="30"/>
      <c r="Q2173" s="30"/>
      <c r="R2173" s="30"/>
    </row>
    <row r="2174" spans="6:18" s="1" customFormat="1" x14ac:dyDescent="0.3">
      <c r="F2174" s="12"/>
      <c r="H2174" s="12"/>
      <c r="N2174" s="31"/>
      <c r="O2174" s="31"/>
      <c r="P2174" s="30"/>
      <c r="Q2174" s="30"/>
      <c r="R2174" s="30"/>
    </row>
    <row r="2175" spans="6:18" s="1" customFormat="1" x14ac:dyDescent="0.3">
      <c r="F2175" s="12"/>
      <c r="H2175" s="12"/>
      <c r="N2175" s="31"/>
      <c r="O2175" s="31"/>
      <c r="P2175" s="30"/>
      <c r="Q2175" s="30"/>
      <c r="R2175" s="30"/>
    </row>
    <row r="2176" spans="6:18" s="1" customFormat="1" x14ac:dyDescent="0.3">
      <c r="F2176" s="12"/>
      <c r="H2176" s="12"/>
      <c r="N2176" s="31"/>
      <c r="O2176" s="31"/>
      <c r="P2176" s="30"/>
      <c r="Q2176" s="30"/>
      <c r="R2176" s="30"/>
    </row>
    <row r="2177" spans="6:18" s="1" customFormat="1" x14ac:dyDescent="0.3">
      <c r="F2177" s="12"/>
      <c r="H2177" s="12"/>
      <c r="N2177" s="31"/>
      <c r="O2177" s="31"/>
      <c r="P2177" s="30"/>
      <c r="Q2177" s="30"/>
      <c r="R2177" s="30"/>
    </row>
    <row r="2178" spans="6:18" s="1" customFormat="1" x14ac:dyDescent="0.3">
      <c r="F2178" s="12"/>
      <c r="H2178" s="12"/>
      <c r="N2178" s="31"/>
      <c r="O2178" s="31"/>
      <c r="P2178" s="30"/>
      <c r="Q2178" s="30"/>
      <c r="R2178" s="30"/>
    </row>
    <row r="2179" spans="6:18" s="1" customFormat="1" x14ac:dyDescent="0.3">
      <c r="F2179" s="12"/>
      <c r="H2179" s="12"/>
      <c r="N2179" s="31"/>
      <c r="O2179" s="31"/>
      <c r="P2179" s="30"/>
      <c r="Q2179" s="30"/>
      <c r="R2179" s="30"/>
    </row>
    <row r="2180" spans="6:18" s="1" customFormat="1" x14ac:dyDescent="0.3">
      <c r="F2180" s="12"/>
      <c r="H2180" s="12"/>
      <c r="N2180" s="31"/>
      <c r="O2180" s="31"/>
      <c r="P2180" s="30"/>
      <c r="Q2180" s="30"/>
      <c r="R2180" s="30"/>
    </row>
    <row r="2181" spans="6:18" s="1" customFormat="1" x14ac:dyDescent="0.3">
      <c r="F2181" s="12"/>
      <c r="H2181" s="12"/>
      <c r="N2181" s="31"/>
      <c r="O2181" s="31"/>
      <c r="P2181" s="30"/>
      <c r="Q2181" s="30"/>
      <c r="R2181" s="30"/>
    </row>
    <row r="2182" spans="6:18" s="1" customFormat="1" x14ac:dyDescent="0.3">
      <c r="F2182" s="12"/>
      <c r="H2182" s="12"/>
      <c r="N2182" s="31"/>
      <c r="O2182" s="31"/>
      <c r="P2182" s="30"/>
      <c r="Q2182" s="30"/>
      <c r="R2182" s="30"/>
    </row>
    <row r="2183" spans="6:18" s="1" customFormat="1" x14ac:dyDescent="0.3">
      <c r="F2183" s="12"/>
      <c r="H2183" s="12"/>
      <c r="N2183" s="31"/>
      <c r="O2183" s="31"/>
      <c r="P2183" s="30"/>
      <c r="Q2183" s="30"/>
      <c r="R2183" s="30"/>
    </row>
    <row r="2184" spans="6:18" s="1" customFormat="1" x14ac:dyDescent="0.3">
      <c r="F2184" s="12"/>
      <c r="H2184" s="12"/>
      <c r="N2184" s="31"/>
      <c r="O2184" s="31"/>
      <c r="P2184" s="30"/>
      <c r="Q2184" s="30"/>
      <c r="R2184" s="30"/>
    </row>
    <row r="2185" spans="6:18" s="1" customFormat="1" x14ac:dyDescent="0.3">
      <c r="F2185" s="12"/>
      <c r="H2185" s="12"/>
      <c r="N2185" s="31"/>
      <c r="O2185" s="31"/>
      <c r="P2185" s="30"/>
      <c r="Q2185" s="30"/>
      <c r="R2185" s="30"/>
    </row>
    <row r="2186" spans="6:18" s="1" customFormat="1" x14ac:dyDescent="0.3">
      <c r="F2186" s="12"/>
      <c r="H2186" s="12"/>
      <c r="N2186" s="31"/>
      <c r="O2186" s="31"/>
      <c r="P2186" s="30"/>
      <c r="Q2186" s="30"/>
      <c r="R2186" s="30"/>
    </row>
    <row r="2187" spans="6:18" s="1" customFormat="1" x14ac:dyDescent="0.3">
      <c r="F2187" s="12"/>
      <c r="H2187" s="12"/>
      <c r="N2187" s="31"/>
      <c r="O2187" s="31"/>
      <c r="P2187" s="30"/>
      <c r="Q2187" s="30"/>
      <c r="R2187" s="30"/>
    </row>
    <row r="2188" spans="6:18" s="1" customFormat="1" x14ac:dyDescent="0.3">
      <c r="F2188" s="12"/>
      <c r="H2188" s="12"/>
      <c r="N2188" s="31"/>
      <c r="O2188" s="31"/>
      <c r="P2188" s="30"/>
      <c r="Q2188" s="30"/>
      <c r="R2188" s="30"/>
    </row>
    <row r="2189" spans="6:18" s="1" customFormat="1" x14ac:dyDescent="0.3">
      <c r="F2189" s="12"/>
      <c r="H2189" s="12"/>
      <c r="N2189" s="31"/>
      <c r="O2189" s="31"/>
      <c r="P2189" s="30"/>
      <c r="Q2189" s="30"/>
      <c r="R2189" s="30"/>
    </row>
    <row r="2190" spans="6:18" s="1" customFormat="1" x14ac:dyDescent="0.3">
      <c r="F2190" s="12"/>
      <c r="H2190" s="12"/>
      <c r="N2190" s="31"/>
      <c r="O2190" s="31"/>
      <c r="P2190" s="30"/>
      <c r="Q2190" s="30"/>
      <c r="R2190" s="30"/>
    </row>
    <row r="2191" spans="6:18" s="1" customFormat="1" x14ac:dyDescent="0.3">
      <c r="F2191" s="12"/>
      <c r="H2191" s="12"/>
      <c r="N2191" s="31"/>
      <c r="O2191" s="31"/>
      <c r="P2191" s="30"/>
      <c r="Q2191" s="30"/>
      <c r="R2191" s="30"/>
    </row>
    <row r="2192" spans="6:18" s="1" customFormat="1" x14ac:dyDescent="0.3">
      <c r="F2192" s="12"/>
      <c r="H2192" s="12"/>
      <c r="N2192" s="31"/>
      <c r="O2192" s="31"/>
      <c r="P2192" s="30"/>
      <c r="Q2192" s="30"/>
      <c r="R2192" s="30"/>
    </row>
    <row r="2193" spans="6:18" s="1" customFormat="1" x14ac:dyDescent="0.3">
      <c r="F2193" s="12"/>
      <c r="H2193" s="12"/>
      <c r="N2193" s="31"/>
      <c r="O2193" s="31"/>
      <c r="P2193" s="30"/>
      <c r="Q2193" s="30"/>
      <c r="R2193" s="30"/>
    </row>
    <row r="2194" spans="6:18" s="1" customFormat="1" x14ac:dyDescent="0.3">
      <c r="F2194" s="12"/>
      <c r="H2194" s="12"/>
      <c r="N2194" s="31"/>
      <c r="O2194" s="31"/>
      <c r="P2194" s="30"/>
      <c r="Q2194" s="30"/>
      <c r="R2194" s="30"/>
    </row>
    <row r="2195" spans="6:18" s="1" customFormat="1" x14ac:dyDescent="0.3">
      <c r="F2195" s="12"/>
      <c r="H2195" s="12"/>
      <c r="N2195" s="31"/>
      <c r="O2195" s="31"/>
      <c r="P2195" s="30"/>
      <c r="Q2195" s="30"/>
      <c r="R2195" s="30"/>
    </row>
    <row r="2196" spans="6:18" s="1" customFormat="1" x14ac:dyDescent="0.3">
      <c r="F2196" s="12"/>
      <c r="H2196" s="12"/>
      <c r="N2196" s="31"/>
      <c r="O2196" s="31"/>
      <c r="P2196" s="30"/>
      <c r="Q2196" s="30"/>
      <c r="R2196" s="30"/>
    </row>
    <row r="2197" spans="6:18" s="1" customFormat="1" x14ac:dyDescent="0.3">
      <c r="F2197" s="12"/>
      <c r="H2197" s="12"/>
      <c r="N2197" s="31"/>
      <c r="O2197" s="31"/>
      <c r="P2197" s="30"/>
      <c r="Q2197" s="30"/>
      <c r="R2197" s="30"/>
    </row>
    <row r="2198" spans="6:18" s="1" customFormat="1" x14ac:dyDescent="0.3">
      <c r="F2198" s="12"/>
      <c r="H2198" s="12"/>
      <c r="N2198" s="31"/>
      <c r="O2198" s="31"/>
      <c r="P2198" s="30"/>
      <c r="Q2198" s="30"/>
      <c r="R2198" s="30"/>
    </row>
    <row r="2199" spans="6:18" s="1" customFormat="1" x14ac:dyDescent="0.3">
      <c r="F2199" s="12"/>
      <c r="H2199" s="12"/>
      <c r="N2199" s="31"/>
      <c r="O2199" s="31"/>
      <c r="P2199" s="30"/>
      <c r="Q2199" s="30"/>
      <c r="R2199" s="30"/>
    </row>
    <row r="2200" spans="6:18" s="1" customFormat="1" x14ac:dyDescent="0.3">
      <c r="F2200" s="12"/>
      <c r="H2200" s="12"/>
      <c r="N2200" s="31"/>
      <c r="O2200" s="31"/>
      <c r="P2200" s="30"/>
      <c r="Q2200" s="30"/>
      <c r="R2200" s="30"/>
    </row>
    <row r="2201" spans="6:18" s="1" customFormat="1" x14ac:dyDescent="0.3">
      <c r="F2201" s="12"/>
      <c r="H2201" s="12"/>
      <c r="N2201" s="31"/>
      <c r="O2201" s="31"/>
      <c r="P2201" s="30"/>
      <c r="Q2201" s="30"/>
      <c r="R2201" s="30"/>
    </row>
    <row r="2202" spans="6:18" s="1" customFormat="1" x14ac:dyDescent="0.3">
      <c r="F2202" s="12"/>
      <c r="H2202" s="12"/>
      <c r="N2202" s="31"/>
      <c r="O2202" s="31"/>
      <c r="P2202" s="30"/>
      <c r="Q2202" s="30"/>
      <c r="R2202" s="30"/>
    </row>
    <row r="2203" spans="6:18" s="1" customFormat="1" x14ac:dyDescent="0.3">
      <c r="F2203" s="12"/>
      <c r="H2203" s="12"/>
      <c r="N2203" s="31"/>
      <c r="O2203" s="31"/>
      <c r="P2203" s="30"/>
      <c r="Q2203" s="30"/>
      <c r="R2203" s="30"/>
    </row>
    <row r="2204" spans="6:18" s="1" customFormat="1" x14ac:dyDescent="0.3">
      <c r="F2204" s="12"/>
      <c r="H2204" s="12"/>
      <c r="N2204" s="31"/>
      <c r="O2204" s="31"/>
      <c r="P2204" s="30"/>
      <c r="Q2204" s="30"/>
      <c r="R2204" s="30"/>
    </row>
    <row r="2205" spans="6:18" s="1" customFormat="1" x14ac:dyDescent="0.3">
      <c r="F2205" s="12"/>
      <c r="H2205" s="12"/>
      <c r="N2205" s="31"/>
      <c r="O2205" s="31"/>
      <c r="P2205" s="30"/>
      <c r="Q2205" s="30"/>
      <c r="R2205" s="30"/>
    </row>
    <row r="2206" spans="6:18" s="1" customFormat="1" x14ac:dyDescent="0.3">
      <c r="F2206" s="12"/>
      <c r="H2206" s="12"/>
      <c r="N2206" s="31"/>
      <c r="O2206" s="31"/>
      <c r="P2206" s="30"/>
      <c r="Q2206" s="30"/>
      <c r="R2206" s="30"/>
    </row>
    <row r="2207" spans="6:18" s="1" customFormat="1" x14ac:dyDescent="0.3">
      <c r="F2207" s="12"/>
      <c r="H2207" s="12"/>
      <c r="N2207" s="31"/>
      <c r="O2207" s="31"/>
      <c r="P2207" s="30"/>
      <c r="Q2207" s="30"/>
      <c r="R2207" s="30"/>
    </row>
    <row r="2208" spans="6:18" s="1" customFormat="1" x14ac:dyDescent="0.3">
      <c r="F2208" s="12"/>
      <c r="H2208" s="12"/>
      <c r="N2208" s="31"/>
      <c r="O2208" s="31"/>
      <c r="P2208" s="30"/>
      <c r="Q2208" s="30"/>
      <c r="R2208" s="30"/>
    </row>
    <row r="2209" spans="6:18" s="1" customFormat="1" x14ac:dyDescent="0.3">
      <c r="F2209" s="12"/>
      <c r="H2209" s="12"/>
      <c r="N2209" s="31"/>
      <c r="O2209" s="31"/>
      <c r="P2209" s="30"/>
      <c r="Q2209" s="30"/>
      <c r="R2209" s="30"/>
    </row>
    <row r="2210" spans="6:18" s="1" customFormat="1" x14ac:dyDescent="0.3">
      <c r="F2210" s="12"/>
      <c r="H2210" s="12"/>
      <c r="N2210" s="31"/>
      <c r="O2210" s="31"/>
      <c r="P2210" s="30"/>
      <c r="Q2210" s="30"/>
      <c r="R2210" s="30"/>
    </row>
    <row r="2211" spans="6:18" s="1" customFormat="1" x14ac:dyDescent="0.3">
      <c r="F2211" s="12"/>
      <c r="H2211" s="12"/>
      <c r="N2211" s="31"/>
      <c r="O2211" s="31"/>
      <c r="P2211" s="30"/>
      <c r="Q2211" s="30"/>
      <c r="R2211" s="30"/>
    </row>
    <row r="2212" spans="6:18" s="1" customFormat="1" x14ac:dyDescent="0.3">
      <c r="F2212" s="12"/>
      <c r="H2212" s="12"/>
      <c r="N2212" s="31"/>
      <c r="O2212" s="31"/>
      <c r="P2212" s="30"/>
      <c r="Q2212" s="30"/>
      <c r="R2212" s="30"/>
    </row>
    <row r="2213" spans="6:18" s="1" customFormat="1" x14ac:dyDescent="0.3">
      <c r="F2213" s="12"/>
      <c r="H2213" s="12"/>
      <c r="N2213" s="31"/>
      <c r="O2213" s="31"/>
      <c r="P2213" s="30"/>
      <c r="Q2213" s="30"/>
      <c r="R2213" s="30"/>
    </row>
    <row r="2214" spans="6:18" s="1" customFormat="1" x14ac:dyDescent="0.3">
      <c r="F2214" s="12"/>
      <c r="H2214" s="12"/>
      <c r="N2214" s="31"/>
      <c r="O2214" s="31"/>
      <c r="P2214" s="30"/>
      <c r="Q2214" s="30"/>
      <c r="R2214" s="30"/>
    </row>
    <row r="2215" spans="6:18" s="1" customFormat="1" x14ac:dyDescent="0.3">
      <c r="F2215" s="12"/>
      <c r="H2215" s="12"/>
      <c r="N2215" s="31"/>
      <c r="O2215" s="31"/>
      <c r="P2215" s="30"/>
      <c r="Q2215" s="30"/>
      <c r="R2215" s="30"/>
    </row>
    <row r="2216" spans="6:18" s="1" customFormat="1" x14ac:dyDescent="0.3">
      <c r="F2216" s="12"/>
      <c r="H2216" s="12"/>
      <c r="N2216" s="31"/>
      <c r="O2216" s="31"/>
      <c r="P2216" s="30"/>
      <c r="Q2216" s="30"/>
      <c r="R2216" s="30"/>
    </row>
    <row r="2217" spans="6:18" s="1" customFormat="1" x14ac:dyDescent="0.3">
      <c r="F2217" s="12"/>
      <c r="H2217" s="12"/>
      <c r="N2217" s="31"/>
      <c r="O2217" s="31"/>
      <c r="P2217" s="30"/>
      <c r="Q2217" s="30"/>
      <c r="R2217" s="30"/>
    </row>
    <row r="2218" spans="6:18" s="1" customFormat="1" x14ac:dyDescent="0.3">
      <c r="F2218" s="12"/>
      <c r="H2218" s="12"/>
      <c r="N2218" s="31"/>
      <c r="O2218" s="31"/>
      <c r="P2218" s="30"/>
      <c r="Q2218" s="30"/>
      <c r="R2218" s="30"/>
    </row>
    <row r="2219" spans="6:18" s="1" customFormat="1" x14ac:dyDescent="0.3">
      <c r="F2219" s="12"/>
      <c r="H2219" s="12"/>
      <c r="N2219" s="31"/>
      <c r="O2219" s="31"/>
      <c r="P2219" s="30"/>
      <c r="Q2219" s="30"/>
      <c r="R2219" s="30"/>
    </row>
    <row r="2220" spans="6:18" s="1" customFormat="1" x14ac:dyDescent="0.3">
      <c r="F2220" s="12"/>
      <c r="H2220" s="12"/>
      <c r="N2220" s="31"/>
      <c r="O2220" s="31"/>
      <c r="P2220" s="30"/>
      <c r="Q2220" s="30"/>
      <c r="R2220" s="30"/>
    </row>
    <row r="2221" spans="6:18" s="1" customFormat="1" x14ac:dyDescent="0.3">
      <c r="F2221" s="12"/>
      <c r="H2221" s="12"/>
      <c r="N2221" s="31"/>
      <c r="O2221" s="31"/>
      <c r="P2221" s="30"/>
      <c r="Q2221" s="30"/>
      <c r="R2221" s="30"/>
    </row>
    <row r="2222" spans="6:18" s="1" customFormat="1" x14ac:dyDescent="0.3">
      <c r="F2222" s="12"/>
      <c r="H2222" s="12"/>
      <c r="N2222" s="31"/>
      <c r="O2222" s="31"/>
      <c r="P2222" s="30"/>
      <c r="Q2222" s="30"/>
      <c r="R2222" s="30"/>
    </row>
    <row r="2223" spans="6:18" s="1" customFormat="1" x14ac:dyDescent="0.3">
      <c r="F2223" s="12"/>
      <c r="H2223" s="12"/>
      <c r="N2223" s="31"/>
      <c r="O2223" s="31"/>
      <c r="P2223" s="30"/>
      <c r="Q2223" s="30"/>
      <c r="R2223" s="30"/>
    </row>
    <row r="2224" spans="6:18" s="1" customFormat="1" x14ac:dyDescent="0.3">
      <c r="F2224" s="12"/>
      <c r="H2224" s="12"/>
      <c r="N2224" s="31"/>
      <c r="O2224" s="31"/>
      <c r="P2224" s="30"/>
      <c r="Q2224" s="30"/>
      <c r="R2224" s="30"/>
    </row>
    <row r="2225" spans="6:18" s="1" customFormat="1" x14ac:dyDescent="0.3">
      <c r="F2225" s="12"/>
      <c r="H2225" s="12"/>
      <c r="N2225" s="31"/>
      <c r="O2225" s="31"/>
      <c r="P2225" s="30"/>
      <c r="Q2225" s="30"/>
      <c r="R2225" s="30"/>
    </row>
    <row r="2226" spans="6:18" s="1" customFormat="1" x14ac:dyDescent="0.3">
      <c r="F2226" s="12"/>
      <c r="H2226" s="12"/>
      <c r="N2226" s="31"/>
      <c r="O2226" s="31"/>
      <c r="P2226" s="30"/>
      <c r="Q2226" s="30"/>
      <c r="R2226" s="30"/>
    </row>
    <row r="2227" spans="6:18" s="1" customFormat="1" x14ac:dyDescent="0.3">
      <c r="F2227" s="12"/>
      <c r="H2227" s="12"/>
      <c r="N2227" s="31"/>
      <c r="O2227" s="31"/>
      <c r="P2227" s="30"/>
      <c r="Q2227" s="30"/>
      <c r="R2227" s="30"/>
    </row>
    <row r="2228" spans="6:18" s="1" customFormat="1" x14ac:dyDescent="0.3">
      <c r="F2228" s="12"/>
      <c r="H2228" s="12"/>
      <c r="N2228" s="31"/>
      <c r="O2228" s="31"/>
      <c r="P2228" s="30"/>
      <c r="Q2228" s="30"/>
      <c r="R2228" s="30"/>
    </row>
    <row r="2229" spans="6:18" s="1" customFormat="1" x14ac:dyDescent="0.3">
      <c r="F2229" s="12"/>
      <c r="H2229" s="12"/>
      <c r="N2229" s="31"/>
      <c r="O2229" s="31"/>
      <c r="P2229" s="30"/>
      <c r="Q2229" s="30"/>
      <c r="R2229" s="30"/>
    </row>
    <row r="2230" spans="6:18" s="1" customFormat="1" x14ac:dyDescent="0.3">
      <c r="F2230" s="12"/>
      <c r="H2230" s="12"/>
      <c r="N2230" s="31"/>
      <c r="O2230" s="31"/>
      <c r="P2230" s="30"/>
      <c r="Q2230" s="30"/>
      <c r="R2230" s="30"/>
    </row>
    <row r="2231" spans="6:18" s="1" customFormat="1" x14ac:dyDescent="0.3">
      <c r="F2231" s="12"/>
      <c r="H2231" s="12"/>
      <c r="N2231" s="31"/>
      <c r="O2231" s="31"/>
      <c r="P2231" s="30"/>
      <c r="Q2231" s="30"/>
      <c r="R2231" s="30"/>
    </row>
    <row r="2232" spans="6:18" s="1" customFormat="1" x14ac:dyDescent="0.3">
      <c r="F2232" s="12"/>
      <c r="H2232" s="12"/>
      <c r="N2232" s="31"/>
      <c r="O2232" s="31"/>
      <c r="P2232" s="30"/>
      <c r="Q2232" s="30"/>
      <c r="R2232" s="30"/>
    </row>
    <row r="2233" spans="6:18" s="1" customFormat="1" x14ac:dyDescent="0.3">
      <c r="F2233" s="12"/>
      <c r="H2233" s="12"/>
      <c r="N2233" s="31"/>
      <c r="O2233" s="31"/>
      <c r="P2233" s="30"/>
      <c r="Q2233" s="30"/>
      <c r="R2233" s="30"/>
    </row>
    <row r="2234" spans="6:18" s="1" customFormat="1" x14ac:dyDescent="0.3">
      <c r="F2234" s="12"/>
      <c r="H2234" s="12"/>
      <c r="N2234" s="31"/>
      <c r="O2234" s="31"/>
      <c r="P2234" s="30"/>
      <c r="Q2234" s="30"/>
      <c r="R2234" s="30"/>
    </row>
    <row r="2235" spans="6:18" s="1" customFormat="1" x14ac:dyDescent="0.3">
      <c r="F2235" s="12"/>
      <c r="H2235" s="12"/>
      <c r="N2235" s="31"/>
      <c r="O2235" s="31"/>
      <c r="P2235" s="30"/>
      <c r="Q2235" s="30"/>
      <c r="R2235" s="30"/>
    </row>
    <row r="2236" spans="6:18" s="1" customFormat="1" x14ac:dyDescent="0.3">
      <c r="F2236" s="12"/>
      <c r="H2236" s="12"/>
      <c r="N2236" s="31"/>
      <c r="O2236" s="31"/>
      <c r="P2236" s="30"/>
      <c r="Q2236" s="30"/>
      <c r="R2236" s="30"/>
    </row>
    <row r="2237" spans="6:18" s="1" customFormat="1" x14ac:dyDescent="0.3">
      <c r="F2237" s="12"/>
      <c r="H2237" s="12"/>
      <c r="N2237" s="31"/>
      <c r="O2237" s="31"/>
      <c r="P2237" s="30"/>
      <c r="Q2237" s="30"/>
      <c r="R2237" s="30"/>
    </row>
    <row r="2238" spans="6:18" s="1" customFormat="1" x14ac:dyDescent="0.3">
      <c r="F2238" s="12"/>
      <c r="H2238" s="12"/>
      <c r="N2238" s="31"/>
      <c r="O2238" s="31"/>
      <c r="P2238" s="30"/>
      <c r="Q2238" s="30"/>
      <c r="R2238" s="30"/>
    </row>
  </sheetData>
  <pageMargins left="0.7" right="0.7" top="0.75" bottom="0.75" header="0.3" footer="0.3"/>
  <pageSetup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81EE-BE05-4F5B-9935-5EB59AC0E6BA}">
  <dimension ref="A1:F11"/>
  <sheetViews>
    <sheetView workbookViewId="0">
      <selection activeCell="C13" sqref="C13"/>
    </sheetView>
  </sheetViews>
  <sheetFormatPr defaultRowHeight="14.4" x14ac:dyDescent="0.3"/>
  <cols>
    <col min="1" max="1" width="15.109375" customWidth="1"/>
    <col min="2" max="2" width="46.109375" bestFit="1" customWidth="1"/>
    <col min="3" max="3" width="14.88671875" bestFit="1" customWidth="1"/>
    <col min="4" max="4" width="14.88671875" customWidth="1"/>
    <col min="5" max="5" width="7.77734375" bestFit="1" customWidth="1"/>
    <col min="6" max="6" width="92.21875" customWidth="1"/>
  </cols>
  <sheetData>
    <row r="1" spans="1:6" x14ac:dyDescent="0.3">
      <c r="A1" s="19" t="s">
        <v>124</v>
      </c>
      <c r="B1" s="19" t="s">
        <v>125</v>
      </c>
      <c r="C1" s="19" t="s">
        <v>126</v>
      </c>
      <c r="D1" s="19" t="s">
        <v>146</v>
      </c>
      <c r="E1" s="19" t="s">
        <v>127</v>
      </c>
      <c r="F1" s="19" t="s">
        <v>128</v>
      </c>
    </row>
    <row r="2" spans="1:6" x14ac:dyDescent="0.3">
      <c r="A2" s="20" t="s">
        <v>129</v>
      </c>
      <c r="B2" s="20" t="s">
        <v>130</v>
      </c>
      <c r="C2" s="21">
        <v>100</v>
      </c>
      <c r="D2" s="22">
        <f>C2/100</f>
        <v>1</v>
      </c>
      <c r="E2" s="20" t="s">
        <v>131</v>
      </c>
      <c r="F2" s="20" t="s">
        <v>132</v>
      </c>
    </row>
    <row r="3" spans="1:6" x14ac:dyDescent="0.3">
      <c r="A3" s="20" t="s">
        <v>133</v>
      </c>
      <c r="B3" s="20" t="s">
        <v>135</v>
      </c>
      <c r="C3" s="21">
        <v>100</v>
      </c>
      <c r="D3" s="22">
        <f t="shared" ref="D3:D10" si="0">C3/100</f>
        <v>1</v>
      </c>
      <c r="E3" s="20" t="s">
        <v>131</v>
      </c>
      <c r="F3" s="20" t="s">
        <v>136</v>
      </c>
    </row>
    <row r="4" spans="1:6" x14ac:dyDescent="0.3">
      <c r="A4" s="20" t="s">
        <v>134</v>
      </c>
      <c r="B4" s="20" t="s">
        <v>135</v>
      </c>
      <c r="C4" s="21">
        <v>100</v>
      </c>
      <c r="D4" s="22">
        <f t="shared" si="0"/>
        <v>1</v>
      </c>
      <c r="E4" s="20" t="s">
        <v>131</v>
      </c>
      <c r="F4" s="20" t="s">
        <v>136</v>
      </c>
    </row>
    <row r="5" spans="1:6" x14ac:dyDescent="0.3">
      <c r="A5" s="20" t="s">
        <v>137</v>
      </c>
      <c r="B5" s="20" t="s">
        <v>138</v>
      </c>
      <c r="C5" s="21">
        <v>100</v>
      </c>
      <c r="D5" s="22">
        <f t="shared" si="0"/>
        <v>1</v>
      </c>
      <c r="E5" s="20" t="s">
        <v>131</v>
      </c>
      <c r="F5" s="20" t="s">
        <v>139</v>
      </c>
    </row>
    <row r="6" spans="1:6" x14ac:dyDescent="0.3">
      <c r="A6" s="20" t="s">
        <v>140</v>
      </c>
      <c r="B6" s="20" t="s">
        <v>141</v>
      </c>
      <c r="C6" s="21">
        <v>100</v>
      </c>
      <c r="D6" s="22">
        <f t="shared" si="0"/>
        <v>1</v>
      </c>
      <c r="E6" s="20" t="s">
        <v>131</v>
      </c>
      <c r="F6" s="20" t="s">
        <v>136</v>
      </c>
    </row>
    <row r="7" spans="1:6" x14ac:dyDescent="0.3">
      <c r="A7" s="20" t="s">
        <v>9</v>
      </c>
      <c r="B7" s="20" t="s">
        <v>141</v>
      </c>
      <c r="C7" s="21">
        <v>100</v>
      </c>
      <c r="D7" s="22">
        <f t="shared" si="0"/>
        <v>1</v>
      </c>
      <c r="E7" s="20" t="s">
        <v>131</v>
      </c>
      <c r="F7" s="20" t="s">
        <v>136</v>
      </c>
    </row>
    <row r="8" spans="1:6" x14ac:dyDescent="0.3">
      <c r="A8" s="20" t="s">
        <v>11</v>
      </c>
      <c r="B8" s="20" t="s">
        <v>141</v>
      </c>
      <c r="C8" s="21">
        <v>100</v>
      </c>
      <c r="D8" s="22">
        <f t="shared" si="0"/>
        <v>1</v>
      </c>
      <c r="E8" s="20" t="s">
        <v>131</v>
      </c>
      <c r="F8" s="20" t="s">
        <v>136</v>
      </c>
    </row>
    <row r="9" spans="1:6" x14ac:dyDescent="0.3">
      <c r="A9" s="20" t="s">
        <v>12</v>
      </c>
      <c r="B9" s="20" t="s">
        <v>141</v>
      </c>
      <c r="C9" s="21">
        <v>100</v>
      </c>
      <c r="D9" s="22">
        <f t="shared" si="0"/>
        <v>1</v>
      </c>
      <c r="E9" s="20" t="s">
        <v>131</v>
      </c>
      <c r="F9" s="20" t="s">
        <v>136</v>
      </c>
    </row>
    <row r="10" spans="1:6" x14ac:dyDescent="0.3">
      <c r="A10" s="20" t="s">
        <v>13</v>
      </c>
      <c r="B10" s="20" t="s">
        <v>141</v>
      </c>
      <c r="C10" s="21">
        <v>100</v>
      </c>
      <c r="D10" s="22">
        <f t="shared" si="0"/>
        <v>1</v>
      </c>
      <c r="E10" s="20" t="s">
        <v>131</v>
      </c>
      <c r="F10" s="20" t="s">
        <v>136</v>
      </c>
    </row>
    <row r="11" spans="1:6" x14ac:dyDescent="0.3">
      <c r="A11" s="23" t="s">
        <v>142</v>
      </c>
      <c r="B11" s="20" t="s">
        <v>143</v>
      </c>
      <c r="C11" s="21">
        <v>100</v>
      </c>
      <c r="D11" s="21"/>
      <c r="E11" s="20" t="s">
        <v>144</v>
      </c>
      <c r="F11" s="20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6F3D-8333-4183-8881-25FB9ABC6D80}">
  <dimension ref="A1:V82"/>
  <sheetViews>
    <sheetView tabSelected="1" topLeftCell="D3" zoomScale="76" zoomScaleNormal="76" workbookViewId="0">
      <selection activeCell="J38" sqref="J38"/>
    </sheetView>
  </sheetViews>
  <sheetFormatPr defaultRowHeight="14.4" x14ac:dyDescent="0.3"/>
  <cols>
    <col min="1" max="1" width="6.88671875" bestFit="1" customWidth="1"/>
    <col min="2" max="2" width="21.77734375" customWidth="1"/>
    <col min="3" max="3" width="19.44140625" customWidth="1"/>
    <col min="4" max="4" width="16.88671875" customWidth="1"/>
    <col min="5" max="5" width="10.77734375" bestFit="1" customWidth="1"/>
    <col min="6" max="6" width="16.88671875" bestFit="1" customWidth="1"/>
    <col min="7" max="7" width="21.33203125" bestFit="1" customWidth="1"/>
    <col min="8" max="8" width="10.88671875" bestFit="1" customWidth="1"/>
    <col min="9" max="9" width="14.21875" bestFit="1" customWidth="1"/>
    <col min="10" max="10" width="15.21875" customWidth="1"/>
    <col min="11" max="16" width="13.5546875" bestFit="1" customWidth="1"/>
    <col min="17" max="18" width="15.5546875" bestFit="1" customWidth="1"/>
    <col min="19" max="19" width="15.77734375" customWidth="1"/>
    <col min="20" max="21" width="13.5546875" bestFit="1" customWidth="1"/>
    <col min="22" max="22" width="10.77734375" bestFit="1" customWidth="1"/>
  </cols>
  <sheetData>
    <row r="1" spans="1:22" ht="23.4" x14ac:dyDescent="0.45">
      <c r="D1" s="50" t="s">
        <v>184</v>
      </c>
      <c r="E1" s="50"/>
      <c r="F1" s="50"/>
      <c r="G1" s="50"/>
    </row>
    <row r="2" spans="1:22" ht="15" customHeight="1" x14ac:dyDescent="0.45">
      <c r="D2" s="37"/>
      <c r="E2" s="37"/>
      <c r="F2" s="37"/>
      <c r="G2" s="37"/>
    </row>
    <row r="3" spans="1:22" x14ac:dyDescent="0.3">
      <c r="A3" s="49" t="s">
        <v>156</v>
      </c>
      <c r="B3" s="49"/>
    </row>
    <row r="4" spans="1:22" x14ac:dyDescent="0.3">
      <c r="A4" s="13" t="s">
        <v>0</v>
      </c>
      <c r="B4" t="s">
        <v>149</v>
      </c>
      <c r="C4" t="s">
        <v>150</v>
      </c>
      <c r="I4" s="51" t="s">
        <v>186</v>
      </c>
      <c r="J4" s="51"/>
      <c r="K4" s="51"/>
      <c r="L4" s="51"/>
    </row>
    <row r="5" spans="1:22" x14ac:dyDescent="0.3">
      <c r="A5" s="39" t="s">
        <v>25</v>
      </c>
      <c r="B5" s="40">
        <v>39672031.430000007</v>
      </c>
      <c r="C5" s="40">
        <v>12183211.400000004</v>
      </c>
      <c r="I5" s="38" t="s">
        <v>151</v>
      </c>
      <c r="J5" s="38" t="s">
        <v>2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x14ac:dyDescent="0.3">
      <c r="A6" s="39" t="s">
        <v>22</v>
      </c>
      <c r="B6" s="40">
        <v>33368932.109999999</v>
      </c>
      <c r="C6" s="40">
        <v>11082938.629999999</v>
      </c>
      <c r="I6" s="38" t="s">
        <v>122</v>
      </c>
      <c r="J6" s="20" t="s">
        <v>16</v>
      </c>
      <c r="K6" s="20" t="s">
        <v>48</v>
      </c>
      <c r="L6" s="20" t="s">
        <v>20</v>
      </c>
      <c r="M6" s="20" t="s">
        <v>40</v>
      </c>
      <c r="N6" s="20" t="s">
        <v>46</v>
      </c>
      <c r="O6" s="20" t="s">
        <v>27</v>
      </c>
      <c r="P6" s="20" t="s">
        <v>31</v>
      </c>
      <c r="Q6" s="20" t="s">
        <v>51</v>
      </c>
      <c r="R6" s="20" t="s">
        <v>24</v>
      </c>
      <c r="S6" s="20" t="s">
        <v>35</v>
      </c>
      <c r="T6" s="20" t="s">
        <v>54</v>
      </c>
      <c r="U6" s="20" t="s">
        <v>33</v>
      </c>
      <c r="V6" s="20" t="s">
        <v>148</v>
      </c>
    </row>
    <row r="7" spans="1:22" x14ac:dyDescent="0.3">
      <c r="A7" s="39" t="s">
        <v>37</v>
      </c>
      <c r="B7" s="40">
        <v>21347091.020000003</v>
      </c>
      <c r="C7" s="40">
        <v>6113845.8700000001</v>
      </c>
      <c r="I7" s="21">
        <v>2010</v>
      </c>
      <c r="J7" s="42">
        <v>9925</v>
      </c>
      <c r="K7" s="42"/>
      <c r="L7" s="42"/>
      <c r="M7" s="42">
        <v>18290</v>
      </c>
      <c r="N7" s="42">
        <v>15144</v>
      </c>
      <c r="O7" s="42">
        <v>5822</v>
      </c>
      <c r="P7" s="42">
        <v>3830</v>
      </c>
      <c r="Q7" s="42"/>
      <c r="R7" s="42">
        <v>8287</v>
      </c>
      <c r="S7" s="42">
        <v>273</v>
      </c>
      <c r="T7" s="42"/>
      <c r="U7" s="42"/>
      <c r="V7" s="42">
        <v>61571</v>
      </c>
    </row>
    <row r="8" spans="1:22" x14ac:dyDescent="0.3">
      <c r="A8" s="39" t="s">
        <v>14</v>
      </c>
      <c r="B8" s="40">
        <v>14094265.130000003</v>
      </c>
      <c r="C8" s="40">
        <v>4722160.03</v>
      </c>
      <c r="I8" s="21">
        <v>2011</v>
      </c>
      <c r="J8" s="42"/>
      <c r="K8" s="42">
        <v>22726</v>
      </c>
      <c r="L8" s="42"/>
      <c r="M8" s="42">
        <v>888</v>
      </c>
      <c r="N8" s="42"/>
      <c r="O8" s="42">
        <v>10051</v>
      </c>
      <c r="P8" s="42">
        <v>4187</v>
      </c>
      <c r="Q8" s="42"/>
      <c r="R8" s="42">
        <v>8975</v>
      </c>
      <c r="S8" s="42"/>
      <c r="T8" s="42">
        <v>4085</v>
      </c>
      <c r="U8" s="42">
        <v>3856</v>
      </c>
      <c r="V8" s="42">
        <v>54768</v>
      </c>
    </row>
    <row r="9" spans="1:22" x14ac:dyDescent="0.3">
      <c r="A9" s="39" t="s">
        <v>67</v>
      </c>
      <c r="B9" s="40">
        <v>14052706.58</v>
      </c>
      <c r="C9" s="40">
        <v>5761191.8599999994</v>
      </c>
      <c r="I9" s="21">
        <v>2012</v>
      </c>
      <c r="J9" s="42">
        <v>8614</v>
      </c>
      <c r="K9" s="42"/>
      <c r="L9" s="42">
        <v>4921</v>
      </c>
      <c r="M9" s="42">
        <v>13039</v>
      </c>
      <c r="N9" s="42">
        <v>8661</v>
      </c>
      <c r="O9" s="42">
        <v>522</v>
      </c>
      <c r="P9" s="42">
        <v>12532</v>
      </c>
      <c r="Q9" s="42">
        <v>5908</v>
      </c>
      <c r="R9" s="42">
        <v>13982</v>
      </c>
      <c r="S9" s="42">
        <v>15078</v>
      </c>
      <c r="T9" s="42"/>
      <c r="U9" s="42">
        <v>14710</v>
      </c>
      <c r="V9" s="42">
        <v>97967</v>
      </c>
    </row>
    <row r="10" spans="1:22" x14ac:dyDescent="0.3">
      <c r="A10" s="39" t="s">
        <v>18</v>
      </c>
      <c r="B10" s="40">
        <v>9170385.4900000002</v>
      </c>
      <c r="C10" s="40">
        <v>2846907.85</v>
      </c>
      <c r="I10" s="21">
        <v>2013</v>
      </c>
      <c r="J10" s="42">
        <v>4750</v>
      </c>
      <c r="K10" s="42"/>
      <c r="L10" s="42">
        <v>4745</v>
      </c>
      <c r="M10" s="42"/>
      <c r="N10" s="42">
        <v>25728</v>
      </c>
      <c r="O10" s="42">
        <v>17243</v>
      </c>
      <c r="P10" s="42"/>
      <c r="Q10" s="42"/>
      <c r="R10" s="42">
        <v>10072</v>
      </c>
      <c r="S10" s="42">
        <v>2125</v>
      </c>
      <c r="T10" s="42"/>
      <c r="U10" s="42"/>
      <c r="V10" s="42">
        <v>64663</v>
      </c>
    </row>
    <row r="11" spans="1:22" x14ac:dyDescent="0.3">
      <c r="A11" s="39" t="s">
        <v>94</v>
      </c>
      <c r="B11" s="40">
        <v>5643356.5500000007</v>
      </c>
      <c r="C11" s="40">
        <v>1457942.76</v>
      </c>
      <c r="I11" s="21">
        <v>2014</v>
      </c>
      <c r="J11" s="42">
        <v>13009</v>
      </c>
      <c r="K11" s="42">
        <v>23892</v>
      </c>
      <c r="L11" s="42">
        <v>6593</v>
      </c>
      <c r="M11" s="42">
        <v>12010</v>
      </c>
      <c r="N11" s="42">
        <v>7215</v>
      </c>
      <c r="O11" s="42">
        <v>15687</v>
      </c>
      <c r="P11" s="42">
        <v>6954</v>
      </c>
      <c r="Q11" s="42"/>
      <c r="R11" s="42">
        <v>1779</v>
      </c>
      <c r="S11" s="42">
        <v>4901</v>
      </c>
      <c r="T11" s="42"/>
      <c r="U11" s="42"/>
      <c r="V11" s="42">
        <v>92040</v>
      </c>
    </row>
    <row r="12" spans="1:22" x14ac:dyDescent="0.3">
      <c r="A12" s="39" t="s">
        <v>148</v>
      </c>
      <c r="B12" s="40">
        <v>137348768.31</v>
      </c>
      <c r="C12" s="40">
        <v>44168198.400000006</v>
      </c>
      <c r="I12" s="21">
        <v>2015</v>
      </c>
      <c r="J12" s="42">
        <v>4247</v>
      </c>
      <c r="K12" s="42">
        <v>5430</v>
      </c>
      <c r="L12" s="42"/>
      <c r="M12" s="42">
        <v>13272</v>
      </c>
      <c r="N12" s="42">
        <v>2847</v>
      </c>
      <c r="O12" s="42">
        <v>673</v>
      </c>
      <c r="P12" s="42">
        <v>8250</v>
      </c>
      <c r="Q12" s="42"/>
      <c r="R12" s="42">
        <v>2924</v>
      </c>
      <c r="S12" s="42">
        <v>11837</v>
      </c>
      <c r="T12" s="42"/>
      <c r="U12" s="42"/>
      <c r="V12" s="42">
        <v>49480</v>
      </c>
    </row>
    <row r="13" spans="1:22" x14ac:dyDescent="0.3">
      <c r="A13" s="14"/>
      <c r="B13" s="18"/>
      <c r="C13" s="18"/>
      <c r="I13" s="21">
        <v>2016</v>
      </c>
      <c r="J13" s="42"/>
      <c r="K13" s="42">
        <v>4660</v>
      </c>
      <c r="L13" s="42">
        <v>962</v>
      </c>
      <c r="M13" s="42">
        <v>5498</v>
      </c>
      <c r="N13" s="42">
        <v>22308</v>
      </c>
      <c r="O13" s="42"/>
      <c r="P13" s="42"/>
      <c r="Q13" s="42"/>
      <c r="R13" s="42">
        <v>948</v>
      </c>
      <c r="S13" s="42">
        <v>5070</v>
      </c>
      <c r="T13" s="42">
        <v>2225</v>
      </c>
      <c r="U13" s="42">
        <v>1485</v>
      </c>
      <c r="V13" s="42">
        <v>43156</v>
      </c>
    </row>
    <row r="14" spans="1:22" x14ac:dyDescent="0.3">
      <c r="I14" s="21">
        <v>2017</v>
      </c>
      <c r="J14" s="42"/>
      <c r="K14" s="42"/>
      <c r="L14" s="42">
        <v>8656</v>
      </c>
      <c r="M14" s="42">
        <v>8263</v>
      </c>
      <c r="N14" s="42">
        <v>1815</v>
      </c>
      <c r="O14" s="42"/>
      <c r="P14" s="42">
        <v>8974</v>
      </c>
      <c r="Q14" s="42">
        <v>4767</v>
      </c>
      <c r="R14" s="42"/>
      <c r="S14" s="42">
        <v>9424</v>
      </c>
      <c r="T14" s="42">
        <v>7327</v>
      </c>
      <c r="U14" s="42"/>
      <c r="V14" s="42">
        <v>49226</v>
      </c>
    </row>
    <row r="15" spans="1:22" x14ac:dyDescent="0.3">
      <c r="A15" s="49" t="s">
        <v>158</v>
      </c>
      <c r="B15" s="49"/>
      <c r="I15" s="20" t="s">
        <v>148</v>
      </c>
      <c r="J15" s="42">
        <v>40545</v>
      </c>
      <c r="K15" s="42">
        <v>56708</v>
      </c>
      <c r="L15" s="42">
        <v>25877</v>
      </c>
      <c r="M15" s="42">
        <v>71260</v>
      </c>
      <c r="N15" s="42">
        <v>83718</v>
      </c>
      <c r="O15" s="42">
        <v>49998</v>
      </c>
      <c r="P15" s="42">
        <v>44727</v>
      </c>
      <c r="Q15" s="42">
        <v>10675</v>
      </c>
      <c r="R15" s="42">
        <v>46967</v>
      </c>
      <c r="S15" s="42">
        <v>48708</v>
      </c>
      <c r="T15" s="42">
        <v>13637</v>
      </c>
      <c r="U15" s="42">
        <v>20051</v>
      </c>
      <c r="V15" s="42">
        <v>512871</v>
      </c>
    </row>
    <row r="16" spans="1:22" x14ac:dyDescent="0.3">
      <c r="A16" s="13" t="s">
        <v>153</v>
      </c>
      <c r="B16" t="s">
        <v>157</v>
      </c>
    </row>
    <row r="17" spans="1:20" x14ac:dyDescent="0.3">
      <c r="A17" s="41">
        <v>2010</v>
      </c>
      <c r="B17" s="40">
        <v>19186024.920000002</v>
      </c>
    </row>
    <row r="18" spans="1:20" x14ac:dyDescent="0.3">
      <c r="A18" s="41">
        <v>2011</v>
      </c>
      <c r="B18" s="40">
        <v>11129166.07</v>
      </c>
    </row>
    <row r="19" spans="1:20" x14ac:dyDescent="0.3">
      <c r="A19" s="41">
        <v>2012</v>
      </c>
      <c r="B19" s="40">
        <v>31898644.52</v>
      </c>
    </row>
    <row r="20" spans="1:20" x14ac:dyDescent="0.3">
      <c r="A20" s="41">
        <v>2013</v>
      </c>
      <c r="B20" s="40">
        <v>20330448.66</v>
      </c>
    </row>
    <row r="21" spans="1:20" x14ac:dyDescent="0.3">
      <c r="A21" s="41">
        <v>2014</v>
      </c>
      <c r="B21" s="40">
        <v>16630214.430000002</v>
      </c>
    </row>
    <row r="22" spans="1:20" x14ac:dyDescent="0.3">
      <c r="A22" s="41">
        <v>2015</v>
      </c>
      <c r="B22" s="40">
        <v>12427982.860000001</v>
      </c>
    </row>
    <row r="23" spans="1:20" x14ac:dyDescent="0.3">
      <c r="A23" s="41">
        <v>2016</v>
      </c>
      <c r="B23" s="40">
        <v>12372867.219999999</v>
      </c>
    </row>
    <row r="24" spans="1:20" x14ac:dyDescent="0.3">
      <c r="A24" s="41">
        <v>2017</v>
      </c>
      <c r="B24" s="40">
        <v>13373419.629999999</v>
      </c>
    </row>
    <row r="25" spans="1:20" x14ac:dyDescent="0.3">
      <c r="A25" s="39" t="s">
        <v>148</v>
      </c>
      <c r="B25" s="40">
        <v>137348768.31</v>
      </c>
    </row>
    <row r="27" spans="1:20" x14ac:dyDescent="0.3">
      <c r="P27" s="48" t="s">
        <v>161</v>
      </c>
      <c r="Q27" s="48"/>
    </row>
    <row r="28" spans="1:20" x14ac:dyDescent="0.3">
      <c r="A28" s="14" t="s">
        <v>159</v>
      </c>
      <c r="P28" s="38" t="s">
        <v>147</v>
      </c>
      <c r="Q28" s="20" t="s">
        <v>154</v>
      </c>
      <c r="R28" s="20" t="s">
        <v>178</v>
      </c>
      <c r="S28" s="20" t="s">
        <v>179</v>
      </c>
      <c r="T28" s="20" t="s">
        <v>180</v>
      </c>
    </row>
    <row r="29" spans="1:20" x14ac:dyDescent="0.3">
      <c r="A29" s="13" t="s">
        <v>0</v>
      </c>
      <c r="B29" t="s">
        <v>185</v>
      </c>
      <c r="I29" s="48" t="s">
        <v>160</v>
      </c>
      <c r="J29" s="48"/>
      <c r="P29" s="39" t="s">
        <v>16</v>
      </c>
      <c r="Q29" s="40">
        <v>10350327.6</v>
      </c>
      <c r="R29" s="40">
        <v>6463683.9000000004</v>
      </c>
      <c r="S29" s="40">
        <v>3886643.6999999993</v>
      </c>
      <c r="T29" s="26">
        <v>0.37550924475086173</v>
      </c>
    </row>
    <row r="30" spans="1:20" x14ac:dyDescent="0.3">
      <c r="A30" s="39" t="s">
        <v>25</v>
      </c>
      <c r="B30" s="26">
        <v>0.28884155218967184</v>
      </c>
      <c r="I30" s="38" t="s">
        <v>152</v>
      </c>
      <c r="J30" s="20" t="s">
        <v>151</v>
      </c>
      <c r="P30" s="39" t="s">
        <v>48</v>
      </c>
      <c r="Q30" s="40">
        <v>2690794.6</v>
      </c>
      <c r="R30" s="40">
        <v>1802747.3199999998</v>
      </c>
      <c r="S30" s="40">
        <v>888047.28000000026</v>
      </c>
      <c r="T30" s="26">
        <v>0.33003161222339311</v>
      </c>
    </row>
    <row r="31" spans="1:20" x14ac:dyDescent="0.3">
      <c r="A31" s="39" t="s">
        <v>22</v>
      </c>
      <c r="B31" s="26">
        <v>0.24295035565725198</v>
      </c>
      <c r="I31" s="39" t="s">
        <v>46</v>
      </c>
      <c r="J31" s="42">
        <v>83718</v>
      </c>
      <c r="P31" s="39" t="s">
        <v>20</v>
      </c>
      <c r="Q31" s="40">
        <v>5322898.9000000004</v>
      </c>
      <c r="R31" s="40">
        <v>3030455.47</v>
      </c>
      <c r="S31" s="40">
        <v>2292443.4300000002</v>
      </c>
      <c r="T31" s="26">
        <v>0.43067574137092851</v>
      </c>
    </row>
    <row r="32" spans="1:20" x14ac:dyDescent="0.3">
      <c r="A32" s="39" t="s">
        <v>37</v>
      </c>
      <c r="B32" s="26">
        <v>0.15542251512455521</v>
      </c>
      <c r="I32" s="39" t="s">
        <v>40</v>
      </c>
      <c r="J32" s="42">
        <v>71260</v>
      </c>
      <c r="P32" s="39" t="s">
        <v>40</v>
      </c>
      <c r="Q32" s="40">
        <v>7787292.799999998</v>
      </c>
      <c r="R32" s="40">
        <v>2553958.3999999999</v>
      </c>
      <c r="S32" s="40">
        <v>5233334.3999999985</v>
      </c>
      <c r="T32" s="26">
        <v>0.67203513909224011</v>
      </c>
    </row>
    <row r="33" spans="1:20" x14ac:dyDescent="0.3">
      <c r="A33" s="39" t="s">
        <v>14</v>
      </c>
      <c r="B33" s="26">
        <v>0.10261661100730698</v>
      </c>
      <c r="I33" s="39" t="s">
        <v>48</v>
      </c>
      <c r="J33" s="42">
        <v>56708</v>
      </c>
      <c r="P33" s="39" t="s">
        <v>46</v>
      </c>
      <c r="Q33" s="40">
        <v>36601509.600000001</v>
      </c>
      <c r="R33" s="40">
        <v>22045460.940000001</v>
      </c>
      <c r="S33" s="40">
        <v>14556048.66</v>
      </c>
      <c r="T33" s="26">
        <v>0.39768984446477584</v>
      </c>
    </row>
    <row r="34" spans="1:20" x14ac:dyDescent="0.3">
      <c r="A34" s="39" t="s">
        <v>67</v>
      </c>
      <c r="B34" s="26">
        <v>0.10231403421312558</v>
      </c>
      <c r="I34" s="39" t="s">
        <v>148</v>
      </c>
      <c r="J34" s="42">
        <v>211686</v>
      </c>
      <c r="P34" s="39" t="s">
        <v>27</v>
      </c>
      <c r="Q34" s="40">
        <v>466481.34</v>
      </c>
      <c r="R34" s="40">
        <v>345986.16</v>
      </c>
      <c r="S34" s="40">
        <v>120495.18000000005</v>
      </c>
      <c r="T34" s="26">
        <v>0.25830653804930342</v>
      </c>
    </row>
    <row r="35" spans="1:20" x14ac:dyDescent="0.3">
      <c r="A35" s="39" t="s">
        <v>18</v>
      </c>
      <c r="B35" s="26">
        <v>6.6767147625977866E-2</v>
      </c>
      <c r="P35" s="39" t="s">
        <v>31</v>
      </c>
      <c r="Q35" s="40">
        <v>29889712.289999995</v>
      </c>
      <c r="R35" s="40">
        <v>22477106.579999998</v>
      </c>
      <c r="S35" s="40">
        <v>7412605.7099999972</v>
      </c>
      <c r="T35" s="26">
        <v>0.24799856345489094</v>
      </c>
    </row>
    <row r="36" spans="1:20" x14ac:dyDescent="0.3">
      <c r="A36" s="39" t="s">
        <v>94</v>
      </c>
      <c r="B36" s="26">
        <v>4.1087784182110662E-2</v>
      </c>
      <c r="P36" s="39" t="s">
        <v>51</v>
      </c>
      <c r="Q36" s="40">
        <v>4503675.75</v>
      </c>
      <c r="R36" s="40">
        <v>3893065.75</v>
      </c>
      <c r="S36" s="40">
        <v>610610</v>
      </c>
      <c r="T36" s="26">
        <v>0.13558036455000119</v>
      </c>
    </row>
    <row r="37" spans="1:20" x14ac:dyDescent="0.3">
      <c r="A37" s="39" t="s">
        <v>148</v>
      </c>
      <c r="B37" s="26">
        <v>1</v>
      </c>
      <c r="P37" s="39" t="s">
        <v>24</v>
      </c>
      <c r="Q37" s="40">
        <v>30585380.07</v>
      </c>
      <c r="R37" s="40">
        <v>24655796.319999997</v>
      </c>
      <c r="S37" s="40">
        <v>5929583.7500000037</v>
      </c>
      <c r="T37" s="26">
        <v>0.1938698730056358</v>
      </c>
    </row>
    <row r="38" spans="1:20" x14ac:dyDescent="0.3">
      <c r="P38" s="39" t="s">
        <v>35</v>
      </c>
      <c r="Q38" s="40">
        <v>3980904.8400000003</v>
      </c>
      <c r="R38" s="40">
        <v>2760282.36</v>
      </c>
      <c r="S38" s="40">
        <v>1220622.4800000004</v>
      </c>
      <c r="T38" s="26">
        <v>0.30661935641747223</v>
      </c>
    </row>
    <row r="39" spans="1:20" x14ac:dyDescent="0.3">
      <c r="P39" s="39" t="s">
        <v>54</v>
      </c>
      <c r="Q39" s="40">
        <v>2080733.46</v>
      </c>
      <c r="R39" s="40">
        <v>1328789.28</v>
      </c>
      <c r="S39" s="40">
        <v>751944.17999999993</v>
      </c>
      <c r="T39" s="26">
        <v>0.36138419189933146</v>
      </c>
    </row>
    <row r="40" spans="1:20" x14ac:dyDescent="0.3">
      <c r="P40" s="39" t="s">
        <v>33</v>
      </c>
      <c r="Q40" s="40">
        <v>3089057.06</v>
      </c>
      <c r="R40" s="40">
        <v>1823237.4300000002</v>
      </c>
      <c r="S40" s="40">
        <v>1265819.6299999999</v>
      </c>
      <c r="T40" s="26">
        <v>0.40977541217707381</v>
      </c>
    </row>
    <row r="42" spans="1:20" x14ac:dyDescent="0.3">
      <c r="A42" s="14" t="s">
        <v>162</v>
      </c>
    </row>
    <row r="43" spans="1:20" x14ac:dyDescent="0.3">
      <c r="A43" s="13" t="s">
        <v>153</v>
      </c>
      <c r="B43" t="s">
        <v>187</v>
      </c>
      <c r="C43" s="19" t="s">
        <v>189</v>
      </c>
      <c r="D43" s="19" t="s">
        <v>188</v>
      </c>
      <c r="I43" t="s">
        <v>164</v>
      </c>
    </row>
    <row r="44" spans="1:20" x14ac:dyDescent="0.3">
      <c r="A44" s="41">
        <v>2010</v>
      </c>
      <c r="B44" s="43">
        <v>6629567.4299999997</v>
      </c>
      <c r="C44" s="33">
        <f>AVERAGEA($B$44:$B$51)</f>
        <v>5521024.7999999998</v>
      </c>
      <c r="D44" s="40" t="str">
        <f>IF(B44&gt;C44,"Above","Below")</f>
        <v>Above</v>
      </c>
      <c r="I44" s="38" t="s">
        <v>163</v>
      </c>
      <c r="J44" s="20" t="s">
        <v>154</v>
      </c>
      <c r="P44" s="49" t="s">
        <v>165</v>
      </c>
      <c r="Q44" s="49"/>
      <c r="R44" s="49"/>
    </row>
    <row r="45" spans="1:20" x14ac:dyDescent="0.3">
      <c r="A45" s="41">
        <v>2011</v>
      </c>
      <c r="B45" s="43">
        <v>2741008.2300000004</v>
      </c>
      <c r="C45" s="33">
        <f t="shared" ref="C45:C51" si="0">AVERAGEA($B$44:$B$51)</f>
        <v>5521024.7999999998</v>
      </c>
      <c r="D45" s="40" t="str">
        <f t="shared" ref="D45:D51" si="1">IF(B45&gt;C45,"Above","Below")</f>
        <v>Below</v>
      </c>
      <c r="I45" s="39" t="s">
        <v>49</v>
      </c>
      <c r="J45" s="40">
        <v>5822036.2000000002</v>
      </c>
      <c r="P45" s="38" t="s">
        <v>163</v>
      </c>
      <c r="Q45" s="20" t="s">
        <v>154</v>
      </c>
    </row>
    <row r="46" spans="1:20" x14ac:dyDescent="0.3">
      <c r="A46" s="41">
        <v>2012</v>
      </c>
      <c r="B46" s="43">
        <v>9213010.120000001</v>
      </c>
      <c r="C46" s="33">
        <f t="shared" si="0"/>
        <v>5521024.7999999998</v>
      </c>
      <c r="D46" s="40" t="str">
        <f t="shared" si="1"/>
        <v>Above</v>
      </c>
      <c r="I46" s="39" t="s">
        <v>65</v>
      </c>
      <c r="J46" s="40">
        <v>6052890.8600000003</v>
      </c>
      <c r="P46" s="39" t="s">
        <v>72</v>
      </c>
      <c r="Q46" s="40">
        <v>26344.26</v>
      </c>
    </row>
    <row r="47" spans="1:20" x14ac:dyDescent="0.3">
      <c r="A47" s="41">
        <v>2013</v>
      </c>
      <c r="B47" s="43">
        <v>6715420.0399999991</v>
      </c>
      <c r="C47" s="33">
        <f t="shared" si="0"/>
        <v>5521024.7999999998</v>
      </c>
      <c r="D47" s="40" t="str">
        <f t="shared" si="1"/>
        <v>Above</v>
      </c>
      <c r="I47" s="39" t="s">
        <v>64</v>
      </c>
      <c r="J47" s="40">
        <v>6161257.9000000004</v>
      </c>
      <c r="P47" s="39" t="s">
        <v>55</v>
      </c>
      <c r="Q47" s="40">
        <v>20404.71</v>
      </c>
    </row>
    <row r="48" spans="1:20" x14ac:dyDescent="0.3">
      <c r="A48" s="41">
        <v>2014</v>
      </c>
      <c r="B48" s="43">
        <v>5879461.6799999997</v>
      </c>
      <c r="C48" s="33">
        <f t="shared" si="0"/>
        <v>5521024.7999999998</v>
      </c>
      <c r="D48" s="40" t="str">
        <f t="shared" si="1"/>
        <v>Above</v>
      </c>
      <c r="I48" s="39" t="s">
        <v>42</v>
      </c>
      <c r="J48" s="40">
        <v>6336545.4800000004</v>
      </c>
      <c r="P48" s="39" t="s">
        <v>38</v>
      </c>
      <c r="Q48" s="40">
        <v>19103.439999999999</v>
      </c>
    </row>
    <row r="49" spans="1:17" x14ac:dyDescent="0.3">
      <c r="A49" s="41">
        <v>2015</v>
      </c>
      <c r="B49" s="43">
        <v>3996539.4400000004</v>
      </c>
      <c r="C49" s="33">
        <f t="shared" si="0"/>
        <v>5521024.7999999998</v>
      </c>
      <c r="D49" s="40" t="str">
        <f t="shared" si="1"/>
        <v>Below</v>
      </c>
      <c r="I49" s="39" t="s">
        <v>148</v>
      </c>
      <c r="J49" s="40">
        <v>24372730.440000001</v>
      </c>
      <c r="P49" s="39" t="s">
        <v>105</v>
      </c>
      <c r="Q49" s="40">
        <v>4870.26</v>
      </c>
    </row>
    <row r="50" spans="1:17" x14ac:dyDescent="0.3">
      <c r="A50" s="41">
        <v>2016</v>
      </c>
      <c r="B50" s="43">
        <v>4903838.01</v>
      </c>
      <c r="C50" s="33">
        <f t="shared" si="0"/>
        <v>5521024.7999999998</v>
      </c>
      <c r="D50" s="40" t="str">
        <f t="shared" si="1"/>
        <v>Below</v>
      </c>
      <c r="P50" s="39" t="s">
        <v>148</v>
      </c>
      <c r="Q50" s="40">
        <v>70722.67</v>
      </c>
    </row>
    <row r="51" spans="1:17" x14ac:dyDescent="0.3">
      <c r="A51" s="41">
        <v>2017</v>
      </c>
      <c r="B51" s="43">
        <v>4089353.45</v>
      </c>
      <c r="C51" s="33">
        <f t="shared" si="0"/>
        <v>5521024.7999999998</v>
      </c>
      <c r="D51" s="40" t="str">
        <f t="shared" si="1"/>
        <v>Below</v>
      </c>
    </row>
    <row r="52" spans="1:17" x14ac:dyDescent="0.3">
      <c r="A52" s="39" t="s">
        <v>148</v>
      </c>
      <c r="B52" s="40">
        <v>44168198.399999999</v>
      </c>
    </row>
    <row r="57" spans="1:17" x14ac:dyDescent="0.3">
      <c r="A57" s="14" t="s">
        <v>166</v>
      </c>
      <c r="B57" s="14"/>
    </row>
    <row r="58" spans="1:17" x14ac:dyDescent="0.3">
      <c r="A58" s="13" t="s">
        <v>153</v>
      </c>
      <c r="B58" t="s">
        <v>154</v>
      </c>
      <c r="C58" t="s">
        <v>173</v>
      </c>
      <c r="I58" s="49"/>
      <c r="J58" s="49"/>
      <c r="K58" s="49"/>
      <c r="L58" s="49"/>
    </row>
    <row r="59" spans="1:17" x14ac:dyDescent="0.3">
      <c r="A59" s="41">
        <v>2010</v>
      </c>
      <c r="B59" s="40">
        <v>19186024.920000002</v>
      </c>
      <c r="C59" s="26"/>
    </row>
    <row r="60" spans="1:17" x14ac:dyDescent="0.3">
      <c r="A60" s="41">
        <v>2011</v>
      </c>
      <c r="B60" s="40">
        <v>11129166.07</v>
      </c>
      <c r="C60" s="26">
        <v>-0.41993372173729049</v>
      </c>
    </row>
    <row r="61" spans="1:17" x14ac:dyDescent="0.3">
      <c r="A61" s="41">
        <v>2012</v>
      </c>
      <c r="B61" s="40">
        <v>31898644.52</v>
      </c>
      <c r="C61" s="26">
        <v>1.866220552318526</v>
      </c>
    </row>
    <row r="62" spans="1:17" x14ac:dyDescent="0.3">
      <c r="A62" s="41">
        <v>2013</v>
      </c>
      <c r="B62" s="40">
        <v>20330448.66</v>
      </c>
      <c r="C62" s="26">
        <v>-0.36265477841062821</v>
      </c>
    </row>
    <row r="63" spans="1:17" x14ac:dyDescent="0.3">
      <c r="A63" s="41">
        <v>2014</v>
      </c>
      <c r="B63" s="40">
        <v>16630214.430000002</v>
      </c>
      <c r="C63" s="26">
        <v>-0.18200455345976602</v>
      </c>
    </row>
    <row r="64" spans="1:17" x14ac:dyDescent="0.3">
      <c r="A64" s="41">
        <v>2015</v>
      </c>
      <c r="B64" s="40">
        <v>12427982.860000001</v>
      </c>
      <c r="C64" s="26">
        <v>-0.25268655360326581</v>
      </c>
    </row>
    <row r="65" spans="1:3" x14ac:dyDescent="0.3">
      <c r="A65" s="41">
        <v>2016</v>
      </c>
      <c r="B65" s="40">
        <v>12372867.219999999</v>
      </c>
      <c r="C65" s="26">
        <v>-4.4348017390170788E-3</v>
      </c>
    </row>
    <row r="66" spans="1:3" x14ac:dyDescent="0.3">
      <c r="A66" s="41">
        <v>2017</v>
      </c>
      <c r="B66" s="40">
        <v>13373419.629999999</v>
      </c>
      <c r="C66" s="26">
        <v>8.0866657033437414E-2</v>
      </c>
    </row>
    <row r="67" spans="1:3" x14ac:dyDescent="0.3">
      <c r="A67" s="39" t="s">
        <v>148</v>
      </c>
      <c r="B67" s="40">
        <v>137348768.31</v>
      </c>
      <c r="C67" s="26"/>
    </row>
    <row r="71" spans="1:3" x14ac:dyDescent="0.3">
      <c r="A71" s="49" t="s">
        <v>167</v>
      </c>
      <c r="B71" s="49"/>
    </row>
    <row r="72" spans="1:3" x14ac:dyDescent="0.3">
      <c r="A72" s="13" t="s">
        <v>153</v>
      </c>
      <c r="B72" s="45" t="s">
        <v>168</v>
      </c>
    </row>
    <row r="73" spans="1:3" x14ac:dyDescent="0.3">
      <c r="A73" s="41">
        <v>2010</v>
      </c>
      <c r="B73" s="44">
        <v>1918602.4920000001</v>
      </c>
      <c r="C73" s="52">
        <f>AVERAGE(B73:B80)</f>
        <v>1392204.6501865529</v>
      </c>
    </row>
    <row r="74" spans="1:3" x14ac:dyDescent="0.3">
      <c r="A74" s="41">
        <v>2011</v>
      </c>
      <c r="B74" s="44">
        <v>927430.50583333336</v>
      </c>
    </row>
    <row r="75" spans="1:3" x14ac:dyDescent="0.3">
      <c r="A75" s="41">
        <v>2012</v>
      </c>
      <c r="B75" s="44">
        <v>1449938.3872727272</v>
      </c>
    </row>
    <row r="76" spans="1:3" x14ac:dyDescent="0.3">
      <c r="A76" s="41">
        <v>2013</v>
      </c>
      <c r="B76" s="44">
        <v>1694204.0549999999</v>
      </c>
    </row>
    <row r="77" spans="1:3" x14ac:dyDescent="0.3">
      <c r="A77" s="41">
        <v>2014</v>
      </c>
      <c r="B77" s="44">
        <v>1108680.9620000001</v>
      </c>
    </row>
    <row r="78" spans="1:3" x14ac:dyDescent="0.3">
      <c r="A78" s="41">
        <v>2015</v>
      </c>
      <c r="B78" s="44">
        <v>1129816.6236363638</v>
      </c>
    </row>
    <row r="79" spans="1:3" x14ac:dyDescent="0.3">
      <c r="A79" s="41">
        <v>2016</v>
      </c>
      <c r="B79" s="44">
        <v>1237286.7219999998</v>
      </c>
    </row>
    <row r="80" spans="1:3" x14ac:dyDescent="0.3">
      <c r="A80" s="41">
        <v>2017</v>
      </c>
      <c r="B80" s="44">
        <v>1671677.4537499999</v>
      </c>
    </row>
    <row r="82" spans="2:2" x14ac:dyDescent="0.3">
      <c r="B82" s="47"/>
    </row>
  </sheetData>
  <mergeCells count="9">
    <mergeCell ref="P27:Q27"/>
    <mergeCell ref="P44:R44"/>
    <mergeCell ref="D1:G1"/>
    <mergeCell ref="A71:B71"/>
    <mergeCell ref="A15:B15"/>
    <mergeCell ref="A3:B3"/>
    <mergeCell ref="I58:L58"/>
    <mergeCell ref="I29:J29"/>
    <mergeCell ref="I4:L4"/>
  </mergeCells>
  <pageMargins left="0.7" right="0.7" top="0.75" bottom="0.75" header="0.3" footer="0.3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88DD-D0CF-4A32-9195-1482D2520EE6}">
  <dimension ref="A1:D9"/>
  <sheetViews>
    <sheetView workbookViewId="0">
      <selection activeCell="D1" sqref="D1"/>
    </sheetView>
  </sheetViews>
  <sheetFormatPr defaultRowHeight="14.4" x14ac:dyDescent="0.3"/>
  <cols>
    <col min="2" max="2" width="22.21875" customWidth="1"/>
    <col min="3" max="3" width="16.109375" customWidth="1"/>
  </cols>
  <sheetData>
    <row r="1" spans="1:4" x14ac:dyDescent="0.3">
      <c r="A1" s="46" t="s">
        <v>153</v>
      </c>
      <c r="B1" s="46" t="s">
        <v>187</v>
      </c>
      <c r="C1" s="19" t="s">
        <v>189</v>
      </c>
    </row>
    <row r="2" spans="1:4" x14ac:dyDescent="0.3">
      <c r="A2" s="41">
        <v>2010</v>
      </c>
      <c r="B2" s="43">
        <v>6629567.4299999997</v>
      </c>
      <c r="C2" s="33">
        <f>AVERAGEA(B2:B9)</f>
        <v>5521024.7999999998</v>
      </c>
    </row>
    <row r="3" spans="1:4" x14ac:dyDescent="0.3">
      <c r="A3" s="41">
        <v>2011</v>
      </c>
      <c r="B3" s="43">
        <v>2741008.2300000004</v>
      </c>
      <c r="C3" s="33">
        <f>AVERAGEA(B2:B10)</f>
        <v>5521024.7999999998</v>
      </c>
    </row>
    <row r="4" spans="1:4" x14ac:dyDescent="0.3">
      <c r="A4" s="41">
        <v>2012</v>
      </c>
      <c r="B4" s="43">
        <v>9213010.120000001</v>
      </c>
      <c r="C4" s="33">
        <f>AVERAGEA(B2:B11)</f>
        <v>5521024.7999999998</v>
      </c>
    </row>
    <row r="5" spans="1:4" x14ac:dyDescent="0.3">
      <c r="A5" s="41">
        <v>2013</v>
      </c>
      <c r="B5" s="43">
        <v>6715420.0399999991</v>
      </c>
      <c r="C5" s="33">
        <f>AVERAGEA(B2:B12)</f>
        <v>5521024.7999999998</v>
      </c>
    </row>
    <row r="6" spans="1:4" x14ac:dyDescent="0.3">
      <c r="A6" s="41">
        <v>2014</v>
      </c>
      <c r="B6" s="43">
        <v>5879461.6799999997</v>
      </c>
      <c r="C6" s="33">
        <f>AVERAGEA(B2:B13)</f>
        <v>5521024.7999999998</v>
      </c>
    </row>
    <row r="7" spans="1:4" x14ac:dyDescent="0.3">
      <c r="A7" s="41">
        <v>2015</v>
      </c>
      <c r="B7" s="43">
        <v>3996539.4400000004</v>
      </c>
      <c r="C7" s="33">
        <f>AVERAGEA(B2:B14)</f>
        <v>5521024.7999999998</v>
      </c>
    </row>
    <row r="8" spans="1:4" x14ac:dyDescent="0.3">
      <c r="A8" s="41">
        <v>2016</v>
      </c>
      <c r="B8" s="43">
        <v>4903838.01</v>
      </c>
      <c r="C8" s="33">
        <f>AVERAGEA(B2:B15)</f>
        <v>5521024.7999999998</v>
      </c>
    </row>
    <row r="9" spans="1:4" x14ac:dyDescent="0.3">
      <c r="A9" s="41">
        <v>2017</v>
      </c>
      <c r="B9" s="43">
        <v>4089353.45</v>
      </c>
      <c r="C9" s="33">
        <f>AVERAGEA(B2:B16)</f>
        <v>5521024.7999999998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F5BA-BB6F-4DCE-8205-02D11915201C}">
  <sheetPr filterMode="1"/>
  <dimension ref="B1:L38"/>
  <sheetViews>
    <sheetView workbookViewId="0">
      <selection activeCell="I14" sqref="I14"/>
    </sheetView>
  </sheetViews>
  <sheetFormatPr defaultColWidth="13.5546875" defaultRowHeight="14.4" x14ac:dyDescent="0.3"/>
  <cols>
    <col min="2" max="5" width="0" hidden="1" customWidth="1"/>
    <col min="7" max="7" width="28.88671875" customWidth="1"/>
    <col min="8" max="8" width="16.5546875" customWidth="1"/>
    <col min="9" max="9" width="17.33203125" customWidth="1"/>
    <col min="10" max="10" width="17.44140625" customWidth="1"/>
    <col min="11" max="11" width="18" customWidth="1"/>
    <col min="12" max="12" width="16.44140625" customWidth="1"/>
  </cols>
  <sheetData>
    <row r="1" spans="2:11" x14ac:dyDescent="0.3">
      <c r="G1" s="19" t="s">
        <v>122</v>
      </c>
      <c r="H1" s="19" t="s">
        <v>149</v>
      </c>
      <c r="I1" s="19" t="s">
        <v>171</v>
      </c>
      <c r="J1" s="19" t="s">
        <v>175</v>
      </c>
      <c r="K1" s="19" t="s">
        <v>172</v>
      </c>
    </row>
    <row r="2" spans="2:11" x14ac:dyDescent="0.3">
      <c r="B2" t="str" cm="1">
        <f t="array" ref="B2:B11">_xlfn.UNIQUE('Sample_Sales Records'!I:I)</f>
        <v>Order Year</v>
      </c>
      <c r="C2" s="1" t="s">
        <v>154</v>
      </c>
      <c r="D2" t="s">
        <v>169</v>
      </c>
      <c r="E2" t="s">
        <v>170</v>
      </c>
      <c r="G2" s="21" cm="1">
        <f t="array" ref="G2:J9">_xlfn._xlws.SORT(B3:E10,1,1)</f>
        <v>2010</v>
      </c>
      <c r="H2" s="33">
        <v>19186024.920000002</v>
      </c>
      <c r="I2" s="21">
        <v>10</v>
      </c>
      <c r="J2" s="33">
        <v>1918602.4920000001</v>
      </c>
      <c r="K2" s="20"/>
    </row>
    <row r="3" spans="2:11" x14ac:dyDescent="0.3">
      <c r="B3" s="1">
        <v>2010</v>
      </c>
      <c r="C3" s="6" cm="1">
        <f t="array" ref="C3:C11">SUMIF(In.[Order Year],'Test Cal.'!B3:B11,In.[Total Revenue])</f>
        <v>19186024.920000002</v>
      </c>
      <c r="D3" s="5" cm="1">
        <f t="array" ref="D3:D11">COUNTIF(In.[Order Year],'Test Cal.'!B3:B11)</f>
        <v>10</v>
      </c>
      <c r="E3" s="6">
        <f>C3/D3</f>
        <v>1918602.4920000001</v>
      </c>
      <c r="G3" s="21">
        <v>2011</v>
      </c>
      <c r="H3" s="33">
        <v>11129166.07</v>
      </c>
      <c r="I3" s="21">
        <v>12</v>
      </c>
      <c r="J3" s="33">
        <v>927430.50583333336</v>
      </c>
      <c r="K3" s="26">
        <f>($H3-$H2)/$H2</f>
        <v>-0.41993372173729049</v>
      </c>
    </row>
    <row r="4" spans="2:11" x14ac:dyDescent="0.3">
      <c r="B4" s="1">
        <v>2012</v>
      </c>
      <c r="C4" s="6">
        <v>31898644.52</v>
      </c>
      <c r="D4" s="1">
        <v>22</v>
      </c>
      <c r="E4" s="6">
        <f t="shared" ref="E4:E11" si="0">C4/D4</f>
        <v>1449938.3872727272</v>
      </c>
      <c r="F4" s="1"/>
      <c r="G4" s="25">
        <v>2012</v>
      </c>
      <c r="H4" s="33">
        <v>31898644.52</v>
      </c>
      <c r="I4" s="21">
        <v>22</v>
      </c>
      <c r="J4" s="33">
        <v>1449938.3872727272</v>
      </c>
      <c r="K4" s="26">
        <f t="shared" ref="K4:K9" si="1">($H4-$H3)/$H3</f>
        <v>1.866220552318526</v>
      </c>
    </row>
    <row r="5" spans="2:11" x14ac:dyDescent="0.3">
      <c r="B5" s="1">
        <v>2014</v>
      </c>
      <c r="C5" s="6">
        <v>16630214.430000002</v>
      </c>
      <c r="D5" s="5">
        <v>15</v>
      </c>
      <c r="E5" s="6">
        <f t="shared" si="0"/>
        <v>1108680.9620000001</v>
      </c>
      <c r="F5" s="1"/>
      <c r="G5" s="21">
        <v>2013</v>
      </c>
      <c r="H5" s="33">
        <v>20330448.66</v>
      </c>
      <c r="I5" s="21">
        <v>12</v>
      </c>
      <c r="J5" s="33">
        <v>1694204.0549999999</v>
      </c>
      <c r="K5" s="26">
        <f t="shared" si="1"/>
        <v>-0.36265477841062821</v>
      </c>
    </row>
    <row r="6" spans="2:11" x14ac:dyDescent="0.3">
      <c r="B6" s="1">
        <v>2013</v>
      </c>
      <c r="C6" s="6">
        <v>20330448.66</v>
      </c>
      <c r="D6" s="5">
        <v>12</v>
      </c>
      <c r="E6" s="6">
        <f t="shared" si="0"/>
        <v>1694204.0549999999</v>
      </c>
      <c r="F6" s="1"/>
      <c r="G6" s="21">
        <v>2014</v>
      </c>
      <c r="H6" s="33">
        <v>16630214.430000002</v>
      </c>
      <c r="I6" s="21">
        <v>15</v>
      </c>
      <c r="J6" s="33">
        <v>1108680.9620000001</v>
      </c>
      <c r="K6" s="26">
        <f t="shared" si="1"/>
        <v>-0.18200455345976602</v>
      </c>
    </row>
    <row r="7" spans="2:11" x14ac:dyDescent="0.3">
      <c r="B7" s="1">
        <v>2015</v>
      </c>
      <c r="C7" s="6">
        <v>12427982.860000001</v>
      </c>
      <c r="D7" s="5">
        <v>11</v>
      </c>
      <c r="E7" s="6">
        <f t="shared" si="0"/>
        <v>1129816.6236363638</v>
      </c>
      <c r="F7" s="1"/>
      <c r="G7" s="21">
        <v>2015</v>
      </c>
      <c r="H7" s="33">
        <v>12427982.860000001</v>
      </c>
      <c r="I7" s="21">
        <v>11</v>
      </c>
      <c r="J7" s="33">
        <v>1129816.6236363638</v>
      </c>
      <c r="K7" s="26">
        <f t="shared" si="1"/>
        <v>-0.25268655360326581</v>
      </c>
    </row>
    <row r="8" spans="2:11" x14ac:dyDescent="0.3">
      <c r="B8" s="1">
        <v>2011</v>
      </c>
      <c r="C8" s="6">
        <v>11129166.07</v>
      </c>
      <c r="D8" s="5">
        <v>12</v>
      </c>
      <c r="E8" s="6">
        <f t="shared" si="0"/>
        <v>927430.50583333336</v>
      </c>
      <c r="F8" s="1"/>
      <c r="G8" s="21">
        <v>2016</v>
      </c>
      <c r="H8" s="33">
        <v>12372867.219999999</v>
      </c>
      <c r="I8" s="21">
        <v>10</v>
      </c>
      <c r="J8" s="33">
        <v>1237286.7219999998</v>
      </c>
      <c r="K8" s="26">
        <f t="shared" si="1"/>
        <v>-4.4348017390170788E-3</v>
      </c>
    </row>
    <row r="9" spans="2:11" x14ac:dyDescent="0.3">
      <c r="B9" s="1">
        <v>2017</v>
      </c>
      <c r="C9" s="6">
        <v>13373419.629999999</v>
      </c>
      <c r="D9" s="5">
        <v>8</v>
      </c>
      <c r="E9" s="6">
        <f t="shared" si="0"/>
        <v>1671677.4537499999</v>
      </c>
      <c r="F9" s="1"/>
      <c r="G9" s="21">
        <v>2017</v>
      </c>
      <c r="H9" s="33">
        <v>13373419.629999999</v>
      </c>
      <c r="I9" s="21">
        <v>8</v>
      </c>
      <c r="J9" s="33">
        <v>1671677.4537499999</v>
      </c>
      <c r="K9" s="26">
        <f t="shared" si="1"/>
        <v>8.0866657033437414E-2</v>
      </c>
    </row>
    <row r="10" spans="2:11" x14ac:dyDescent="0.3">
      <c r="B10" s="1">
        <v>2016</v>
      </c>
      <c r="C10" s="6">
        <v>12372867.219999999</v>
      </c>
      <c r="D10" s="5">
        <v>10</v>
      </c>
      <c r="E10" s="6">
        <f t="shared" si="0"/>
        <v>1237286.7219999998</v>
      </c>
      <c r="F10" s="1"/>
      <c r="G10" s="1"/>
      <c r="H10" s="34">
        <f>SUM(H2:H9)</f>
        <v>137348768.31</v>
      </c>
    </row>
    <row r="11" spans="2:11" x14ac:dyDescent="0.3">
      <c r="B11" s="1">
        <v>0</v>
      </c>
      <c r="C11" s="1">
        <v>0</v>
      </c>
      <c r="D11" s="5">
        <v>0</v>
      </c>
      <c r="E11" s="6" t="e">
        <f t="shared" si="0"/>
        <v>#DIV/0!</v>
      </c>
      <c r="F11" s="1"/>
      <c r="G11" s="1"/>
      <c r="H11" s="24"/>
    </row>
    <row r="12" spans="2:11" x14ac:dyDescent="0.3">
      <c r="F12" s="1"/>
      <c r="G12" s="1"/>
      <c r="H12" s="24"/>
    </row>
    <row r="13" spans="2:11" x14ac:dyDescent="0.3">
      <c r="G13" s="19" t="str" cm="1">
        <f t="array" ref="G13:G21">_xlfn.UNIQUE('Sample_Sales Records'!A:A)</f>
        <v>Region</v>
      </c>
      <c r="H13" s="19" t="s">
        <v>149</v>
      </c>
      <c r="I13" s="19" t="s">
        <v>174</v>
      </c>
    </row>
    <row r="14" spans="2:11" x14ac:dyDescent="0.3">
      <c r="G14" s="20" t="str">
        <v>Australia and Oceania</v>
      </c>
      <c r="H14" s="33" cm="1">
        <f t="array" ref="H14:H21">SUMIF('Sample_Sales Records'!A:A,'Test Cal.'!G14:G21,'Sample_Sales Records'!P:P)</f>
        <v>14094265.130000003</v>
      </c>
      <c r="I14" s="28">
        <f>H14/$H$22</f>
        <v>0.10261661100730698</v>
      </c>
    </row>
    <row r="15" spans="2:11" x14ac:dyDescent="0.3">
      <c r="G15" s="20" t="str">
        <v>Central America and the Caribbean</v>
      </c>
      <c r="H15" s="33">
        <v>9170385.4900000002</v>
      </c>
      <c r="I15" s="28">
        <f t="shared" ref="I15:I20" si="2">H15/$H$22</f>
        <v>6.6767147625977866E-2</v>
      </c>
    </row>
    <row r="16" spans="2:11" x14ac:dyDescent="0.3">
      <c r="G16" s="20" t="str">
        <v>Europe</v>
      </c>
      <c r="H16" s="33">
        <v>33368932.109999999</v>
      </c>
      <c r="I16" s="28">
        <f t="shared" si="2"/>
        <v>0.24295035565725198</v>
      </c>
    </row>
    <row r="17" spans="7:12" x14ac:dyDescent="0.3">
      <c r="G17" s="20" t="str">
        <v>Sub-Saharan Africa</v>
      </c>
      <c r="H17" s="33">
        <v>39672031.430000007</v>
      </c>
      <c r="I17" s="28">
        <f>H17/$H$22</f>
        <v>0.28884155218967184</v>
      </c>
    </row>
    <row r="18" spans="7:12" x14ac:dyDescent="0.3">
      <c r="G18" s="20" t="str">
        <v>Asia</v>
      </c>
      <c r="H18" s="33">
        <v>21347091.020000003</v>
      </c>
      <c r="I18" s="28">
        <f t="shared" si="2"/>
        <v>0.15542251512455521</v>
      </c>
    </row>
    <row r="19" spans="7:12" x14ac:dyDescent="0.3">
      <c r="G19" s="20" t="str">
        <v>Middle East and North Africa</v>
      </c>
      <c r="H19" s="33">
        <v>14052706.58</v>
      </c>
      <c r="I19" s="28">
        <f t="shared" si="2"/>
        <v>0.10231403421312558</v>
      </c>
    </row>
    <row r="20" spans="7:12" x14ac:dyDescent="0.3">
      <c r="G20" s="20" t="str">
        <v>North America</v>
      </c>
      <c r="H20" s="33">
        <v>5643356.5500000007</v>
      </c>
      <c r="I20" s="28">
        <f t="shared" si="2"/>
        <v>4.1087784182110662E-2</v>
      </c>
    </row>
    <row r="21" spans="7:12" hidden="1" x14ac:dyDescent="0.3">
      <c r="G21" s="1">
        <v>0</v>
      </c>
      <c r="H21" s="6">
        <v>0</v>
      </c>
    </row>
    <row r="22" spans="7:12" x14ac:dyDescent="0.3">
      <c r="H22" s="35">
        <f>SUM(H14:H20)</f>
        <v>137348768.31</v>
      </c>
      <c r="I22" s="36">
        <f>SUM(I14:I20)</f>
        <v>1</v>
      </c>
    </row>
    <row r="25" spans="7:12" x14ac:dyDescent="0.3">
      <c r="G25" s="19" t="s">
        <v>152</v>
      </c>
      <c r="H25" s="19" t="s">
        <v>176</v>
      </c>
      <c r="I25" s="19" t="s">
        <v>177</v>
      </c>
      <c r="J25" s="19" t="s">
        <v>181</v>
      </c>
      <c r="K25" s="19" t="s">
        <v>182</v>
      </c>
      <c r="L25" s="19" t="s">
        <v>183</v>
      </c>
    </row>
    <row r="26" spans="7:12" x14ac:dyDescent="0.3">
      <c r="G26" s="20" t="str" cm="1">
        <f t="array" ref="G26:G37">_xlfn.UNIQUE(In.[Item Type])</f>
        <v>Baby Food</v>
      </c>
      <c r="H26" s="33" cm="1">
        <f t="array" ref="H26:H37">SUMIF(In.[Item Type],_xlfn.ANCHORARRAY('Test Cal.'!G26),In.[Total Revenue])</f>
        <v>10350327.6</v>
      </c>
      <c r="I26" s="33" cm="1">
        <f t="array" ref="I26:I37">SUMIF(In.[Item Type],_xlfn.ANCHORARRAY('Test Cal.'!G26),In.[Total Cost])</f>
        <v>6463683.9000000004</v>
      </c>
      <c r="J26" s="33">
        <f>H26-I26</f>
        <v>3886643.6999999993</v>
      </c>
      <c r="K26" s="33" cm="1">
        <f t="array" ref="K26:K37">SUMIF(In.[Item Type],_xlfn.ANCHORARRAY('Test Cal.'!G26),In.[Total Profit])</f>
        <v>3886643.7</v>
      </c>
      <c r="L26" s="28">
        <f>J26/H26</f>
        <v>0.37550924475086173</v>
      </c>
    </row>
    <row r="27" spans="7:12" x14ac:dyDescent="0.3">
      <c r="G27" s="20" t="str">
        <v>Cereal</v>
      </c>
      <c r="H27" s="33">
        <v>5322898.9000000004</v>
      </c>
      <c r="I27" s="33">
        <v>3030455.47</v>
      </c>
      <c r="J27" s="33">
        <f t="shared" ref="J27:J37" si="3">H27-I27</f>
        <v>2292443.4300000002</v>
      </c>
      <c r="K27" s="33">
        <v>2292443.4299999997</v>
      </c>
      <c r="L27" s="28">
        <f t="shared" ref="L27:L37" si="4">J27/H27</f>
        <v>0.43067574137092851</v>
      </c>
    </row>
    <row r="28" spans="7:12" x14ac:dyDescent="0.3">
      <c r="G28" s="20" t="str">
        <v>Office Supplies</v>
      </c>
      <c r="H28" s="33">
        <v>30585380.07</v>
      </c>
      <c r="I28" s="33">
        <v>24655796.319999997</v>
      </c>
      <c r="J28" s="33">
        <f t="shared" si="3"/>
        <v>5929583.7500000037</v>
      </c>
      <c r="K28" s="33">
        <v>5929583.75</v>
      </c>
      <c r="L28" s="28">
        <f t="shared" si="4"/>
        <v>0.1938698730056358</v>
      </c>
    </row>
    <row r="29" spans="7:12" x14ac:dyDescent="0.3">
      <c r="G29" s="20" t="str">
        <v>Fruits</v>
      </c>
      <c r="H29" s="33">
        <v>466481.34</v>
      </c>
      <c r="I29" s="33">
        <v>345986.16</v>
      </c>
      <c r="J29" s="33">
        <f t="shared" si="3"/>
        <v>120495.18000000005</v>
      </c>
      <c r="K29" s="33">
        <v>120495.18</v>
      </c>
      <c r="L29" s="28">
        <f t="shared" si="4"/>
        <v>0.25830653804930342</v>
      </c>
    </row>
    <row r="30" spans="7:12" x14ac:dyDescent="0.3">
      <c r="G30" s="20" t="str">
        <v>Household</v>
      </c>
      <c r="H30" s="33">
        <v>29889712.289999995</v>
      </c>
      <c r="I30" s="33">
        <v>22477106.579999998</v>
      </c>
      <c r="J30" s="33">
        <f t="shared" si="3"/>
        <v>7412605.7099999972</v>
      </c>
      <c r="K30" s="33">
        <v>7412605.7100000009</v>
      </c>
      <c r="L30" s="28">
        <f t="shared" si="4"/>
        <v>0.24799856345489094</v>
      </c>
    </row>
    <row r="31" spans="7:12" x14ac:dyDescent="0.3">
      <c r="G31" s="20" t="str">
        <v>Vegetables</v>
      </c>
      <c r="H31" s="33">
        <v>3089057.06</v>
      </c>
      <c r="I31" s="33">
        <v>1823237.4300000002</v>
      </c>
      <c r="J31" s="33">
        <f t="shared" si="3"/>
        <v>1265819.6299999999</v>
      </c>
      <c r="K31" s="33">
        <v>1265819.6300000001</v>
      </c>
      <c r="L31" s="28">
        <f t="shared" si="4"/>
        <v>0.40977541217707381</v>
      </c>
    </row>
    <row r="32" spans="7:12" x14ac:dyDescent="0.3">
      <c r="G32" s="20" t="str">
        <v>Personal Care</v>
      </c>
      <c r="H32" s="33">
        <v>3980904.8400000003</v>
      </c>
      <c r="I32" s="33">
        <v>2760282.36</v>
      </c>
      <c r="J32" s="33">
        <f t="shared" si="3"/>
        <v>1220622.4800000004</v>
      </c>
      <c r="K32" s="33">
        <v>1220622.48</v>
      </c>
      <c r="L32" s="28">
        <f t="shared" si="4"/>
        <v>0.30661935641747223</v>
      </c>
    </row>
    <row r="33" spans="7:12" x14ac:dyDescent="0.3">
      <c r="G33" s="20" t="str">
        <v>Clothes</v>
      </c>
      <c r="H33" s="33">
        <v>7787292.799999998</v>
      </c>
      <c r="I33" s="33">
        <v>2553958.3999999999</v>
      </c>
      <c r="J33" s="33">
        <f t="shared" si="3"/>
        <v>5233334.3999999985</v>
      </c>
      <c r="K33" s="33">
        <v>5233334.4000000004</v>
      </c>
      <c r="L33" s="28">
        <f t="shared" si="4"/>
        <v>0.67203513909224011</v>
      </c>
    </row>
    <row r="34" spans="7:12" x14ac:dyDescent="0.3">
      <c r="G34" s="20" t="str">
        <v>Cosmetics</v>
      </c>
      <c r="H34" s="33">
        <v>36601509.600000001</v>
      </c>
      <c r="I34" s="33">
        <v>22045460.940000001</v>
      </c>
      <c r="J34" s="33">
        <f t="shared" si="3"/>
        <v>14556048.66</v>
      </c>
      <c r="K34" s="33">
        <v>14556048.66</v>
      </c>
      <c r="L34" s="28">
        <f t="shared" si="4"/>
        <v>0.39768984446477584</v>
      </c>
    </row>
    <row r="35" spans="7:12" x14ac:dyDescent="0.3">
      <c r="G35" s="20" t="str">
        <v>Beverages</v>
      </c>
      <c r="H35" s="33">
        <v>2690794.6</v>
      </c>
      <c r="I35" s="33">
        <v>1802747.3199999998</v>
      </c>
      <c r="J35" s="33">
        <f t="shared" si="3"/>
        <v>888047.28000000026</v>
      </c>
      <c r="K35" s="33">
        <v>888047.27999999991</v>
      </c>
      <c r="L35" s="28">
        <f t="shared" si="4"/>
        <v>0.33003161222339311</v>
      </c>
    </row>
    <row r="36" spans="7:12" x14ac:dyDescent="0.3">
      <c r="G36" s="20" t="str">
        <v>Meat</v>
      </c>
      <c r="H36" s="33">
        <v>4503675.75</v>
      </c>
      <c r="I36" s="33">
        <v>3893065.75</v>
      </c>
      <c r="J36" s="33">
        <f t="shared" si="3"/>
        <v>610610</v>
      </c>
      <c r="K36" s="33">
        <v>610610</v>
      </c>
      <c r="L36" s="28">
        <f t="shared" si="4"/>
        <v>0.13558036455000119</v>
      </c>
    </row>
    <row r="37" spans="7:12" x14ac:dyDescent="0.3">
      <c r="G37" s="20" t="str">
        <v>Snacks</v>
      </c>
      <c r="H37" s="33">
        <v>2080733.46</v>
      </c>
      <c r="I37" s="33">
        <v>1328789.28</v>
      </c>
      <c r="J37" s="33">
        <f t="shared" si="3"/>
        <v>751944.17999999993</v>
      </c>
      <c r="K37" s="33">
        <v>751944.18</v>
      </c>
      <c r="L37" s="28">
        <f t="shared" si="4"/>
        <v>0.36138419189933146</v>
      </c>
    </row>
    <row r="38" spans="7:12" x14ac:dyDescent="0.3">
      <c r="G38" s="1"/>
      <c r="H38" s="35">
        <f>SUM(_xlfn.ANCHORARRAY(H26))</f>
        <v>137348768.31</v>
      </c>
      <c r="L38" s="27"/>
    </row>
  </sheetData>
  <autoFilter ref="G13:H21" xr:uid="{C64FF5BA-BB6F-4DCE-8205-02D11915201C}">
    <filterColumn colId="1">
      <filters>
        <filter val="$14,052,707"/>
        <filter val="$14,094,265"/>
        <filter val="$21,347,091"/>
        <filter val="$33,368,932"/>
        <filter val="$39,672,031"/>
        <filter val="$5,643,357"/>
        <filter val="$9,170,38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C0291-388A-47E5-A4B2-A1E25E7908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Dataset</vt:lpstr>
      <vt:lpstr>Sample_Sales Records</vt:lpstr>
      <vt:lpstr>Issues Log</vt:lpstr>
      <vt:lpstr>Data Summary (Pivot Table)</vt:lpstr>
      <vt:lpstr>KPI_7</vt:lpstr>
      <vt:lpstr>Test Cal.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patel</dc:creator>
  <cp:lastModifiedBy>Victor Oduh</cp:lastModifiedBy>
  <dcterms:created xsi:type="dcterms:W3CDTF">2020-01-07T09:43:14Z</dcterms:created>
  <dcterms:modified xsi:type="dcterms:W3CDTF">2026-08-10T11:39:57Z</dcterms:modified>
</cp:coreProperties>
</file>